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 tabRatio="500" activeTab="1"/>
  </bookViews>
  <sheets>
    <sheet name="Read me" sheetId="1" r:id="rId1"/>
    <sheet name="Participants" sheetId="2" r:id="rId2"/>
    <sheet name="Readings" sheetId="3" r:id="rId3"/>
    <sheet name="Summary" sheetId="4" r:id="rId4"/>
    <sheet name="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<sst xmlns="http://schemas.openxmlformats.org/spreadsheetml/2006/main" count="413" uniqueCount="155">
  <si>
    <t>IntelliStride - participant sheet</t>
  </si>
  <si>
    <t>How to use</t>
  </si>
  <si>
    <t>1</t>
  </si>
  <si>
    <t>Participants tab: type age, sex, height, weight and foot size in the yellow cells. BMI and category fill in by themselves.</t>
  </si>
  <si>
    <t>2</t>
  </si>
  <si>
    <t>Readings tab: for each person there are 8 reading slots. Type the values from the shoe or the dashboard into the yellow cells. Acceleration magnitude, angular-velocity magnitude, tilt, sudden change, risk score and risk level calculate automatically.</t>
  </si>
  <si>
    <t>3</t>
  </si>
  <si>
    <t>Summary tab: one line per person (height, weight, BMI, readings logged, peak and mean risk score, highest level). It updates as you fill the other tabs.</t>
  </si>
  <si>
    <t>4</t>
  </si>
  <si>
    <t>Reference tab: the thresholds and points the risk score uses, copied from the dashboard code (fall-risk.js). Change a threshold there and every score follows.</t>
  </si>
  <si>
    <t>Participants</t>
  </si>
  <si>
    <t>SAMPLE VALUES for demonstration - heights, weights and readings below were not measured on these people.</t>
  </si>
  <si>
    <t>#</t>
  </si>
  <si>
    <t>Name</t>
  </si>
  <si>
    <t>Age (yrs)</t>
  </si>
  <si>
    <t>Sex</t>
  </si>
  <si>
    <t>Height (cm)</t>
  </si>
  <si>
    <t>Weight (kg)</t>
  </si>
  <si>
    <t>BMI (kg/m2)</t>
  </si>
  <si>
    <t>BMI category (WHO adult)</t>
  </si>
  <si>
    <t>Foot size (UK)</t>
  </si>
  <si>
    <t>Tested on</t>
  </si>
  <si>
    <t>Notes</t>
  </si>
  <si>
    <t>Vidula Nijhawan</t>
  </si>
  <si>
    <t>Female</t>
  </si>
  <si>
    <t>30-Sept-2026</t>
  </si>
  <si>
    <t>Normal walk</t>
  </si>
  <si>
    <t>Rishika Gupta</t>
  </si>
  <si>
    <t>Brisk walk with a turn</t>
  </si>
  <si>
    <t>Vishav Gupta</t>
  </si>
  <si>
    <t>Male</t>
  </si>
  <si>
    <t>Vedant Singh</t>
  </si>
  <si>
    <t>Standing, weight shifting</t>
  </si>
  <si>
    <t>Daksh Jain</t>
  </si>
  <si>
    <t>Staged stumble (demo only)</t>
  </si>
  <si>
    <t>Sudeep</t>
  </si>
  <si>
    <t>Dhairya</t>
  </si>
  <si>
    <t>Sanjana</t>
  </si>
  <si>
    <t>Aniket</t>
  </si>
  <si>
    <t>Seated, resting</t>
  </si>
  <si>
    <t>Raghav Garg</t>
  </si>
  <si>
    <t>Kushal Thakur</t>
  </si>
  <si>
    <t>Manjot Singh</t>
  </si>
  <si>
    <t>Tejnoor Singh</t>
  </si>
  <si>
    <t>Ramit Joshi</t>
  </si>
  <si>
    <t>Kirtan Borana</t>
  </si>
  <si>
    <t>BMI = weight / height squared; categories are the WHO adult bands (under 18.5, 18.5-24.9, 25-29.9, 30 and over) and do not apply under 18.</t>
  </si>
  <si>
    <t>Readings - 8 slots per person</t>
  </si>
  <si>
    <t>Units: FSR raw ADC 0-4095 (uncalibrated) | accel g | gyro deg/s | pitch, roll deg | distance cm.  Prototype score, not clinically validated.</t>
  </si>
  <si>
    <t>Person #</t>
  </si>
  <si>
    <t>Reading</t>
  </si>
  <si>
    <t>Time (HH:MM:SS)</t>
  </si>
  <si>
    <t>Phase</t>
  </si>
  <si>
    <t>FSR fore-foot</t>
  </si>
  <si>
    <t>FSR mid-foot</t>
  </si>
  <si>
    <t>FSR hind-foot</t>
  </si>
  <si>
    <t>Accel x (g)</t>
  </si>
  <si>
    <t>Accel y (g)</t>
  </si>
  <si>
    <t>Accel z (g)</t>
  </si>
  <si>
    <t>Gyro x (deg/s)</t>
  </si>
  <si>
    <t>Gyro y (deg/s)</t>
  </si>
  <si>
    <t>Gyro z (deg/s)</t>
  </si>
  <si>
    <t>Pitch (deg)</t>
  </si>
  <si>
    <t>Roll (deg)</t>
  </si>
  <si>
    <t>Distance (cm)</t>
  </si>
  <si>
    <t>GPS sats</t>
  </si>
  <si>
    <t>GPS fix (Y/N)</t>
  </si>
  <si>
    <t>Accel mag (g)</t>
  </si>
  <si>
    <t>Gyro mag (deg/s)</t>
  </si>
  <si>
    <t>Tilt (deg)</t>
  </si>
  <si>
    <t>Sudden change (g)</t>
  </si>
  <si>
    <t>Risk score (0-100)</t>
  </si>
  <si>
    <t>Risk level</t>
  </si>
  <si>
    <t>Heel strike</t>
  </si>
  <si>
    <t>Y</t>
  </si>
  <si>
    <t>Foot flat</t>
  </si>
  <si>
    <t>Mid stance</t>
  </si>
  <si>
    <t>Toe off</t>
  </si>
  <si>
    <t>Swing</t>
  </si>
  <si>
    <t>Turning</t>
  </si>
  <si>
    <t>Standing</t>
  </si>
  <si>
    <t>N</t>
  </si>
  <si>
    <t>Weight shift</t>
  </si>
  <si>
    <t>Walking</t>
  </si>
  <si>
    <t>Trip begins</t>
  </si>
  <si>
    <t>Stumble peak</t>
  </si>
  <si>
    <t>Recovery</t>
  </si>
  <si>
    <t>Steadying</t>
  </si>
  <si>
    <t>Seated</t>
  </si>
  <si>
    <t>Foot shift</t>
  </si>
  <si>
    <t>Summary - one line per person</t>
  </si>
  <si>
    <t>BMI</t>
  </si>
  <si>
    <t>Readings logged</t>
  </si>
  <si>
    <t>Peak risk score</t>
  </si>
  <si>
    <t>Mean risk score</t>
  </si>
  <si>
    <t>Highest level</t>
  </si>
  <si>
    <t>Closest obstacle (cm)</t>
  </si>
  <si>
    <t>Peak accel (g)</t>
  </si>
  <si>
    <t>Peak gyro (deg/s)</t>
  </si>
  <si>
    <t>People with readings</t>
  </si>
  <si>
    <t>People rated HIGH</t>
  </si>
  <si>
    <t>People rated MODERATE</t>
  </si>
  <si>
    <t>People rated LOW</t>
  </si>
  <si>
    <t>Reference - thresholds and units</t>
  </si>
  <si>
    <t>Setting</t>
  </si>
  <si>
    <t>Threshold (at or above)</t>
  </si>
  <si>
    <t>Points added</t>
  </si>
  <si>
    <t>Unit / note</t>
  </si>
  <si>
    <t>Risk LOW up to score</t>
  </si>
  <si>
    <t>score 0-39 = LOW</t>
  </si>
  <si>
    <t>Risk HIGH from score</t>
  </si>
  <si>
    <t>score 70-100 = HIGH; 40-69 = MODERATE</t>
  </si>
  <si>
    <t>Acceleration, normal limit</t>
  </si>
  <si>
    <t>g, magnitude of x, y, z</t>
  </si>
  <si>
    <t>Acceleration, elevated</t>
  </si>
  <si>
    <t>g (replaces the 10 points)</t>
  </si>
  <si>
    <t>Acceleration, high</t>
  </si>
  <si>
    <t>g (replaces the 25 points)</t>
  </si>
  <si>
    <t>Angular velocity, normal limit</t>
  </si>
  <si>
    <t>deg/s, magnitude of x, y, z</t>
  </si>
  <si>
    <t>Angular velocity, elevated</t>
  </si>
  <si>
    <t>deg/s (replaces the 8 points)</t>
  </si>
  <si>
    <t>Angular velocity, high</t>
  </si>
  <si>
    <t>deg/s (replaces the 20 points)</t>
  </si>
  <si>
    <t>Sudden acceleration change</t>
  </si>
  <si>
    <t>g, change from the previous reading of the same person</t>
  </si>
  <si>
    <t>Tilt, elevated</t>
  </si>
  <si>
    <t>deg, sqrt(pitch^2 + roll^2)</t>
  </si>
  <si>
    <t>Tilt, high</t>
  </si>
  <si>
    <t>deg (replaces the 5 points)</t>
  </si>
  <si>
    <t>Score = acceleration points + angular-velocity points + sudden-change points + tilt points, capped at 100. Source: fall-risk.js, function fallRiskEngine.</t>
  </si>
  <si>
    <t>Unit</t>
  </si>
  <si>
    <t>Sensor</t>
  </si>
  <si>
    <t>Range / note</t>
  </si>
  <si>
    <t>FSR forefoot / midfoot / hindfoot</t>
  </si>
  <si>
    <t>raw ADC 0-4095</t>
  </si>
  <si>
    <t>FSR pressure sensor</t>
  </si>
  <si>
    <t>uncalibrated count, not newtons</t>
  </si>
  <si>
    <t>Acceleration x, y, z</t>
  </si>
  <si>
    <t>g</t>
  </si>
  <si>
    <t>MPU6050 IMU</t>
  </si>
  <si>
    <t>about 1.0 g on z when standing still</t>
  </si>
  <si>
    <t>Angular velocity x, y, z</t>
  </si>
  <si>
    <t>deg/s</t>
  </si>
  <si>
    <t>Pitch, roll</t>
  </si>
  <si>
    <t>deg</t>
  </si>
  <si>
    <t>orientation of the foot</t>
  </si>
  <si>
    <t>Obstacle distance</t>
  </si>
  <si>
    <t>cm</t>
  </si>
  <si>
    <t>HC-SR04 ultrasonic (toe)</t>
  </si>
  <si>
    <t>typical sensor range 2-400 cm</t>
  </si>
  <si>
    <t>GPS satellites, fix</t>
  </si>
  <si>
    <t>count, Y/N</t>
  </si>
  <si>
    <t>NEO-6M GPS</t>
  </si>
  <si>
    <t>location needs a fix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</si>
</sst>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  <numFmt numFmtId="181" formatCode="dd/mmm/yyyy"/>
  </numFmts>
  <fonts count="33">
    <font>
      <sz val="11"/>
      <color theme="1"/>
      <name val="Calibri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7A2E3A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A2E3A"/>
        <bgColor rgb="FFA13B3B"/>
      </patternFill>
    </fill>
    <fill>
      <patternFill patternType="solid">
        <fgColor rgb="FFFFF2CC"/>
        <bgColor rgb="FFF5E3CF"/>
      </patternFill>
    </fill>
    <fill>
      <patternFill patternType="solid">
        <fgColor rgb="FFF3F3F4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C9C4"/>
      </left>
      <right style="thin">
        <color rgb="FFD9C9C4"/>
      </right>
      <top style="thin">
        <color rgb="FFD9C9C4"/>
      </top>
      <bottom style="thin">
        <color rgb="FFD9C9C4"/>
      </bottom>
      <diagonal/>
    </border>
    <border>
      <left style="thin">
        <color rgb="FFD9C9C4"/>
      </left>
      <right style="thin">
        <color rgb="FFD9C9C4"/>
      </right>
      <top style="thin">
        <color rgb="FFD9C9C4"/>
      </top>
      <bottom style="medium">
        <color rgb="FF7A2E3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Border="0" applyAlignment="0" applyProtection="0"/>
    <xf numFmtId="177" fontId="12" fillId="0" borderId="0" applyBorder="0" applyAlignment="0" applyProtection="0"/>
    <xf numFmtId="9" fontId="12" fillId="0" borderId="0" applyBorder="0" applyAlignment="0" applyProtection="0"/>
    <xf numFmtId="178" fontId="12" fillId="0" borderId="0" applyBorder="0" applyAlignment="0" applyProtection="0"/>
    <xf numFmtId="179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2" borderId="0" xfId="0" applyFont="1" applyFill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/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80" fontId="7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80" fontId="4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5" fontId="5" fillId="3" borderId="1" xfId="0" applyNumberFormat="1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35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180" fontId="5" fillId="3" borderId="2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180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81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9" fillId="0" borderId="0" xfId="0" applyFont="1" applyAlignment="1"/>
    <xf numFmtId="0" fontId="8" fillId="0" borderId="0" xfId="0" applyFont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Arial"/>
        <scheme val="none"/>
        <charset val="1"/>
        <family val="0"/>
        <b val="1"/>
        <color rgb="FFA13B3B"/>
      </font>
      <fill>
        <patternFill patternType="solid">
          <bgColor rgb="FFF2D7D7"/>
        </patternFill>
      </fill>
    </dxf>
    <dxf>
      <font>
        <name val="Arial"/>
        <scheme val="none"/>
        <charset val="1"/>
        <family val="0"/>
        <b val="1"/>
        <color rgb="FFB8722A"/>
      </font>
      <fill>
        <patternFill patternType="solid">
          <bgColor rgb="FFF5E3CF"/>
        </patternFill>
      </fill>
    </dxf>
    <dxf>
      <font>
        <name val="Arial"/>
        <scheme val="none"/>
        <charset val="1"/>
        <family val="0"/>
        <b val="1"/>
        <color rgb="FF3F7A55"/>
      </font>
      <fill>
        <patternFill patternType="solid">
          <bgColor rgb="FFDCEBE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8722A"/>
      <rgbColor rgb="00800080"/>
      <rgbColor rgb="00008080"/>
      <rgbColor rgb="00D9C9C4"/>
      <rgbColor rgb="00808080"/>
      <rgbColor rgb="009999FF"/>
      <rgbColor rgb="00A13B3B"/>
      <rgbColor rgb="00FFF2CC"/>
      <rgbColor rgb="00F3F3F4"/>
      <rgbColor rgb="00660066"/>
      <rgbColor rgb="00FF8080"/>
      <rgbColor rgb="000066CC"/>
      <rgbColor rgb="00F2D7D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CEBE1"/>
      <rgbColor rgb="00F5E3CF"/>
      <rgbColor rgb="0099CCFF"/>
      <rgbColor rgb="00FF99CC"/>
      <rgbColor rgb="00CC99FF"/>
      <rgbColor rgb="00DEC0B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A55"/>
      <rgbColor rgb="00003300"/>
      <rgbColor rgb="00333300"/>
      <rgbColor rgb="00993300"/>
      <rgbColor rgb="007A2E3A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EC0B9"/>
    <pageSetUpPr fitToPage="1"/>
  </sheetPr>
  <dimension ref="A1:H16"/>
  <sheetViews>
    <sheetView showGridLines="0" workbookViewId="0">
      <selection activeCell="B15" sqref="B15:H15"/>
    </sheetView>
  </sheetViews>
  <sheetFormatPr defaultColWidth="8.67592592592593" defaultRowHeight="14.4" outlineLevelCol="7"/>
  <cols>
    <col min="1" max="1" width="24" style="1" customWidth="1"/>
    <col min="2" max="8" width="16" style="1" customWidth="1"/>
  </cols>
  <sheetData>
    <row r="1" ht="27.7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18" customHeight="1" spans="1:8">
      <c r="A2" s="4"/>
      <c r="B2" s="3"/>
      <c r="C2" s="3"/>
      <c r="D2" s="3"/>
      <c r="E2" s="3"/>
      <c r="F2" s="3"/>
      <c r="G2" s="3"/>
      <c r="H2" s="3"/>
    </row>
    <row r="4" ht="15" customHeight="1" spans="1:8">
      <c r="A4" s="36" t="s">
        <v>1</v>
      </c>
    </row>
    <row r="5" ht="30" customHeight="1" spans="1:8">
      <c r="A5" s="37" t="s">
        <v>2</v>
      </c>
      <c r="B5" s="38" t="s">
        <v>3</v>
      </c>
      <c r="C5" s="38"/>
      <c r="D5" s="38"/>
      <c r="E5" s="38"/>
      <c r="F5" s="38"/>
      <c r="G5" s="38"/>
      <c r="H5" s="38"/>
    </row>
    <row r="6" ht="45" customHeight="1" spans="1:8">
      <c r="A6" s="37" t="s">
        <v>4</v>
      </c>
      <c r="B6" s="38" t="s">
        <v>5</v>
      </c>
      <c r="C6" s="38"/>
      <c r="D6" s="38"/>
      <c r="E6" s="38"/>
      <c r="F6" s="38"/>
      <c r="G6" s="38"/>
      <c r="H6" s="38"/>
    </row>
    <row r="7" ht="30" customHeight="1" spans="1:8">
      <c r="A7" s="37" t="s">
        <v>6</v>
      </c>
      <c r="B7" s="38" t="s">
        <v>7</v>
      </c>
      <c r="C7" s="38"/>
      <c r="D7" s="38"/>
      <c r="E7" s="38"/>
      <c r="F7" s="38"/>
      <c r="G7" s="38"/>
      <c r="H7" s="38"/>
    </row>
    <row r="8" ht="30" customHeight="1" spans="1:8">
      <c r="A8" s="37" t="s">
        <v>8</v>
      </c>
      <c r="B8" s="38" t="s">
        <v>9</v>
      </c>
      <c r="C8" s="38"/>
      <c r="D8" s="38"/>
      <c r="E8" s="38"/>
      <c r="F8" s="38"/>
      <c r="G8" s="38"/>
      <c r="H8" s="38"/>
    </row>
    <row r="9" ht="15" customHeight="1" spans="1:8">
      <c r="A9" s="36"/>
    </row>
    <row r="10" ht="18" customHeight="1" spans="1:8">
      <c r="A10" s="39"/>
      <c r="B10"/>
      <c r="C10"/>
      <c r="D10"/>
      <c r="E10"/>
      <c r="F10"/>
      <c r="G10"/>
      <c r="H10"/>
    </row>
    <row r="11" ht="18" customHeight="1" spans="1:8">
      <c r="A11" s="40"/>
      <c r="B11" s="38"/>
      <c r="C11" s="38"/>
      <c r="D11" s="38"/>
      <c r="E11" s="38"/>
      <c r="F11" s="38"/>
      <c r="G11" s="38"/>
      <c r="H11" s="38"/>
    </row>
    <row r="12" ht="18" customHeight="1" spans="1:8">
      <c r="A12" s="41"/>
      <c r="B12" s="38"/>
      <c r="C12" s="38"/>
      <c r="D12" s="38"/>
      <c r="E12" s="38"/>
      <c r="F12" s="38"/>
      <c r="G12" s="38"/>
      <c r="H12" s="38"/>
    </row>
    <row r="13" ht="60" customHeight="1" spans="1:8">
      <c r="A13" s="37"/>
      <c r="B13" s="38"/>
      <c r="C13" s="38"/>
      <c r="D13" s="38"/>
      <c r="E13" s="38"/>
      <c r="F13" s="38"/>
      <c r="G13" s="38"/>
      <c r="H13" s="38"/>
    </row>
    <row r="14" ht="15" customHeight="1" spans="1:8">
      <c r="A14" s="36"/>
    </row>
    <row r="15" ht="45" customHeight="1" spans="1:8">
      <c r="A15" s="37"/>
      <c r="B15" s="38"/>
      <c r="C15" s="38"/>
      <c r="D15" s="38"/>
      <c r="E15" s="38"/>
      <c r="F15" s="38"/>
      <c r="G15" s="38"/>
      <c r="H15" s="38"/>
    </row>
    <row r="16" ht="45" customHeight="1" spans="1:8">
      <c r="A16" s="37"/>
      <c r="B16" s="38"/>
      <c r="C16" s="38"/>
      <c r="D16" s="38"/>
      <c r="E16" s="38"/>
      <c r="F16" s="38"/>
      <c r="G16" s="38"/>
      <c r="H16" s="38"/>
    </row>
  </sheetData>
  <mergeCells count="9">
    <mergeCell ref="B5:H5"/>
    <mergeCell ref="B6:H6"/>
    <mergeCell ref="B7:H7"/>
    <mergeCell ref="B8:H8"/>
    <mergeCell ref="B11:H11"/>
    <mergeCell ref="B12:H12"/>
    <mergeCell ref="B13:H13"/>
    <mergeCell ref="B15:H15"/>
    <mergeCell ref="B16:H16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2E3A"/>
    <pageSetUpPr fitToPage="1"/>
  </sheetPr>
  <dimension ref="A1:K22"/>
  <sheetViews>
    <sheetView showGridLines="0" tabSelected="1" workbookViewId="0">
      <pane xSplit="2" ySplit="5" topLeftCell="C6" activePane="bottomRight" state="frozen"/>
      <selection/>
      <selection pane="topRight"/>
      <selection pane="bottomLeft"/>
      <selection pane="bottomRight" activeCell="G24" sqref="G24"/>
    </sheetView>
  </sheetViews>
  <sheetFormatPr defaultColWidth="8.67592592592593" defaultRowHeight="14.4"/>
  <cols>
    <col min="1" max="1" width="5" style="1" customWidth="1"/>
    <col min="2" max="2" width="24" style="1" customWidth="1"/>
    <col min="3" max="3" width="10" style="1" customWidth="1"/>
    <col min="4" max="4" width="11" style="1" customWidth="1"/>
    <col min="5" max="7" width="12" style="1" customWidth="1"/>
    <col min="8" max="8" width="20" style="1" customWidth="1"/>
    <col min="9" max="9" width="12" style="1" customWidth="1"/>
    <col min="10" max="10" width="14" style="1" customWidth="1"/>
    <col min="11" max="11" width="36" style="1" customWidth="1"/>
  </cols>
  <sheetData>
    <row r="1" ht="27.75" customHeight="1" spans="1:11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8" customHeight="1" spans="1:11">
      <c r="A2" s="4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5" ht="39.75" customHeight="1" spans="1:11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</row>
    <row r="6" ht="15" customHeight="1" spans="1:11">
      <c r="A6" s="20">
        <v>1</v>
      </c>
      <c r="B6" s="33" t="s">
        <v>23</v>
      </c>
      <c r="C6" s="8">
        <v>20</v>
      </c>
      <c r="D6" s="8" t="s">
        <v>24</v>
      </c>
      <c r="E6" s="8">
        <v>160</v>
      </c>
      <c r="F6" s="8">
        <v>52</v>
      </c>
      <c r="G6" s="17">
        <f t="shared" ref="G6:G20" si="0">IF(AND(ISNUMBER(E6),ISNUMBER(F6),E6&gt;0),F6/(E6/100)^2,"")</f>
        <v>20.3125</v>
      </c>
      <c r="H6" s="12" t="str">
        <f t="shared" ref="H6:H20" si="1">IF(G6="","",IF(G6&lt;18.5,"Underweight",IF(G6&lt;25,"Normal",IF(G6&lt;30,"Overweight","Obese"))))</f>
        <v>Normal</v>
      </c>
      <c r="I6" s="23">
        <v>5</v>
      </c>
      <c r="J6" s="34" t="s">
        <v>25</v>
      </c>
      <c r="K6" s="35" t="s">
        <v>26</v>
      </c>
    </row>
    <row r="7" ht="15" customHeight="1" spans="1:11">
      <c r="A7" s="20">
        <v>2</v>
      </c>
      <c r="B7" s="33" t="s">
        <v>27</v>
      </c>
      <c r="C7" s="8">
        <v>20</v>
      </c>
      <c r="D7" s="8" t="s">
        <v>24</v>
      </c>
      <c r="E7" s="8">
        <v>163</v>
      </c>
      <c r="F7" s="8">
        <v>55</v>
      </c>
      <c r="G7" s="17">
        <f t="shared" si="0"/>
        <v>20.7008167413151</v>
      </c>
      <c r="H7" s="12" t="str">
        <f t="shared" si="1"/>
        <v>Normal</v>
      </c>
      <c r="I7" s="23">
        <v>6</v>
      </c>
      <c r="J7" s="34" t="s">
        <v>25</v>
      </c>
      <c r="K7" s="35" t="s">
        <v>28</v>
      </c>
    </row>
    <row r="8" ht="15" customHeight="1" spans="1:11">
      <c r="A8" s="20">
        <v>3</v>
      </c>
      <c r="B8" s="33" t="s">
        <v>29</v>
      </c>
      <c r="C8" s="8">
        <v>21</v>
      </c>
      <c r="D8" s="8" t="s">
        <v>30</v>
      </c>
      <c r="E8" s="8">
        <v>174</v>
      </c>
      <c r="F8" s="8">
        <v>68</v>
      </c>
      <c r="G8" s="17">
        <f t="shared" si="0"/>
        <v>22.4600343506408</v>
      </c>
      <c r="H8" s="12" t="str">
        <f t="shared" si="1"/>
        <v>Normal</v>
      </c>
      <c r="I8" s="23">
        <v>8</v>
      </c>
      <c r="J8" s="34" t="s">
        <v>25</v>
      </c>
      <c r="K8" s="35" t="s">
        <v>26</v>
      </c>
    </row>
    <row r="9" ht="15" customHeight="1" spans="1:11">
      <c r="A9" s="20">
        <v>4</v>
      </c>
      <c r="B9" s="33" t="s">
        <v>31</v>
      </c>
      <c r="C9" s="8">
        <v>21</v>
      </c>
      <c r="D9" s="8" t="s">
        <v>30</v>
      </c>
      <c r="E9" s="8">
        <v>178</v>
      </c>
      <c r="F9" s="8">
        <v>72</v>
      </c>
      <c r="G9" s="17">
        <f t="shared" si="0"/>
        <v>22.7244034844085</v>
      </c>
      <c r="H9" s="12" t="str">
        <f t="shared" si="1"/>
        <v>Normal</v>
      </c>
      <c r="I9" s="23">
        <v>9</v>
      </c>
      <c r="J9" s="34" t="s">
        <v>25</v>
      </c>
      <c r="K9" s="35" t="s">
        <v>32</v>
      </c>
    </row>
    <row r="10" ht="15" customHeight="1" spans="1:11">
      <c r="A10" s="20">
        <v>5</v>
      </c>
      <c r="B10" s="33" t="s">
        <v>33</v>
      </c>
      <c r="C10" s="8">
        <v>20</v>
      </c>
      <c r="D10" s="8" t="s">
        <v>30</v>
      </c>
      <c r="E10" s="8">
        <v>172</v>
      </c>
      <c r="F10" s="8">
        <v>64</v>
      </c>
      <c r="G10" s="17">
        <f t="shared" si="0"/>
        <v>21.6333153055706</v>
      </c>
      <c r="H10" s="12" t="str">
        <f t="shared" si="1"/>
        <v>Normal</v>
      </c>
      <c r="I10" s="23">
        <v>8</v>
      </c>
      <c r="J10" s="34">
        <v>46300</v>
      </c>
      <c r="K10" s="35" t="s">
        <v>34</v>
      </c>
    </row>
    <row r="11" ht="15" customHeight="1" spans="1:11">
      <c r="A11" s="20">
        <v>6</v>
      </c>
      <c r="B11" s="33" t="s">
        <v>35</v>
      </c>
      <c r="C11" s="8">
        <v>22</v>
      </c>
      <c r="D11" s="8" t="s">
        <v>30</v>
      </c>
      <c r="E11" s="8">
        <v>176</v>
      </c>
      <c r="F11" s="8">
        <v>70</v>
      </c>
      <c r="G11" s="17">
        <f t="shared" si="0"/>
        <v>22.5981404958678</v>
      </c>
      <c r="H11" s="12" t="str">
        <f t="shared" si="1"/>
        <v>Normal</v>
      </c>
      <c r="I11" s="23">
        <v>9</v>
      </c>
      <c r="J11" s="34">
        <v>46300</v>
      </c>
      <c r="K11" s="35" t="s">
        <v>26</v>
      </c>
    </row>
    <row r="12" ht="15" customHeight="1" spans="1:11">
      <c r="A12" s="20">
        <v>7</v>
      </c>
      <c r="B12" s="33" t="s">
        <v>36</v>
      </c>
      <c r="C12" s="8">
        <v>21</v>
      </c>
      <c r="D12" s="8" t="s">
        <v>30</v>
      </c>
      <c r="E12" s="8">
        <v>170</v>
      </c>
      <c r="F12" s="8">
        <v>62</v>
      </c>
      <c r="G12" s="17">
        <f t="shared" si="0"/>
        <v>21.4532871972318</v>
      </c>
      <c r="H12" s="12" t="str">
        <f t="shared" si="1"/>
        <v>Normal</v>
      </c>
      <c r="I12" s="23">
        <v>8</v>
      </c>
      <c r="J12" s="34">
        <v>46300</v>
      </c>
      <c r="K12" s="35" t="s">
        <v>28</v>
      </c>
    </row>
    <row r="13" ht="15" customHeight="1" spans="1:11">
      <c r="A13" s="20">
        <v>8</v>
      </c>
      <c r="B13" s="33" t="s">
        <v>37</v>
      </c>
      <c r="C13" s="8">
        <v>20</v>
      </c>
      <c r="D13" s="8" t="s">
        <v>24</v>
      </c>
      <c r="E13" s="8">
        <v>158</v>
      </c>
      <c r="F13" s="8">
        <v>50</v>
      </c>
      <c r="G13" s="17">
        <f t="shared" si="0"/>
        <v>20.0288415318058</v>
      </c>
      <c r="H13" s="12" t="str">
        <f t="shared" si="1"/>
        <v>Normal</v>
      </c>
      <c r="I13" s="23">
        <v>5</v>
      </c>
      <c r="J13" s="34">
        <v>46300</v>
      </c>
      <c r="K13" s="35" t="s">
        <v>26</v>
      </c>
    </row>
    <row r="14" ht="15" customHeight="1" spans="1:11">
      <c r="A14" s="20">
        <v>9</v>
      </c>
      <c r="B14" s="33" t="s">
        <v>38</v>
      </c>
      <c r="C14" s="8">
        <v>21</v>
      </c>
      <c r="D14" s="8" t="s">
        <v>30</v>
      </c>
      <c r="E14" s="8">
        <v>180</v>
      </c>
      <c r="F14" s="8">
        <v>76</v>
      </c>
      <c r="G14" s="17">
        <f t="shared" si="0"/>
        <v>23.4567901234568</v>
      </c>
      <c r="H14" s="12" t="str">
        <f t="shared" si="1"/>
        <v>Normal</v>
      </c>
      <c r="I14" s="23">
        <v>9</v>
      </c>
      <c r="J14" s="34">
        <v>46300</v>
      </c>
      <c r="K14" s="35" t="s">
        <v>39</v>
      </c>
    </row>
    <row r="15" ht="15" customHeight="1" spans="1:11">
      <c r="A15" s="20">
        <v>10</v>
      </c>
      <c r="B15" s="33" t="s">
        <v>40</v>
      </c>
      <c r="C15" s="8">
        <v>21</v>
      </c>
      <c r="D15" s="8" t="s">
        <v>30</v>
      </c>
      <c r="E15" s="8">
        <v>175</v>
      </c>
      <c r="F15" s="8">
        <v>78</v>
      </c>
      <c r="G15" s="17">
        <f t="shared" si="0"/>
        <v>25.469387755102</v>
      </c>
      <c r="H15" s="12" t="str">
        <f t="shared" si="1"/>
        <v>Overweight</v>
      </c>
      <c r="I15" s="23">
        <v>9</v>
      </c>
      <c r="J15" s="34">
        <v>46304</v>
      </c>
      <c r="K15" s="35" t="s">
        <v>26</v>
      </c>
    </row>
    <row r="16" ht="15" customHeight="1" spans="1:11">
      <c r="A16" s="20">
        <v>11</v>
      </c>
      <c r="B16" s="33" t="s">
        <v>41</v>
      </c>
      <c r="C16" s="8">
        <v>22</v>
      </c>
      <c r="D16" s="8" t="s">
        <v>30</v>
      </c>
      <c r="E16" s="8">
        <v>183</v>
      </c>
      <c r="F16" s="8">
        <v>82</v>
      </c>
      <c r="G16" s="17">
        <f t="shared" si="0"/>
        <v>24.485652005136</v>
      </c>
      <c r="H16" s="12" t="str">
        <f t="shared" si="1"/>
        <v>Normal</v>
      </c>
      <c r="I16" s="23">
        <v>10</v>
      </c>
      <c r="J16" s="34">
        <v>46304</v>
      </c>
      <c r="K16" s="35" t="s">
        <v>28</v>
      </c>
    </row>
    <row r="17" ht="15" customHeight="1" spans="1:11">
      <c r="A17" s="20">
        <v>12</v>
      </c>
      <c r="B17" s="33" t="s">
        <v>42</v>
      </c>
      <c r="C17" s="8">
        <v>21</v>
      </c>
      <c r="D17" s="8" t="s">
        <v>30</v>
      </c>
      <c r="E17" s="8">
        <v>177</v>
      </c>
      <c r="F17" s="8">
        <v>67</v>
      </c>
      <c r="G17" s="17">
        <f t="shared" si="0"/>
        <v>21.3859363528999</v>
      </c>
      <c r="H17" s="12" t="str">
        <f t="shared" si="1"/>
        <v>Normal</v>
      </c>
      <c r="I17" s="23">
        <v>9</v>
      </c>
      <c r="J17" s="34">
        <v>46304</v>
      </c>
      <c r="K17" s="35" t="s">
        <v>32</v>
      </c>
    </row>
    <row r="18" ht="15" customHeight="1" spans="1:11">
      <c r="A18" s="20">
        <v>13</v>
      </c>
      <c r="B18" s="33" t="s">
        <v>43</v>
      </c>
      <c r="C18" s="8">
        <v>20</v>
      </c>
      <c r="D18" s="8" t="s">
        <v>30</v>
      </c>
      <c r="E18" s="8">
        <v>173</v>
      </c>
      <c r="F18" s="8">
        <v>60</v>
      </c>
      <c r="G18" s="17">
        <f t="shared" si="0"/>
        <v>20.0474456213038</v>
      </c>
      <c r="H18" s="12" t="str">
        <f t="shared" si="1"/>
        <v>Normal</v>
      </c>
      <c r="I18" s="23">
        <v>8</v>
      </c>
      <c r="J18" s="34">
        <v>46304</v>
      </c>
      <c r="K18" s="35" t="s">
        <v>26</v>
      </c>
    </row>
    <row r="19" ht="15" customHeight="1" spans="1:11">
      <c r="A19" s="20">
        <v>14</v>
      </c>
      <c r="B19" s="33" t="s">
        <v>44</v>
      </c>
      <c r="C19" s="8">
        <v>21</v>
      </c>
      <c r="D19" s="8" t="s">
        <v>30</v>
      </c>
      <c r="E19" s="8">
        <v>169</v>
      </c>
      <c r="F19" s="8">
        <v>58</v>
      </c>
      <c r="G19" s="17">
        <f t="shared" si="0"/>
        <v>20.307412205455</v>
      </c>
      <c r="H19" s="12" t="str">
        <f t="shared" si="1"/>
        <v>Normal</v>
      </c>
      <c r="I19" s="23">
        <v>7</v>
      </c>
      <c r="J19" s="34">
        <v>46306</v>
      </c>
      <c r="K19" s="35" t="s">
        <v>39</v>
      </c>
    </row>
    <row r="20" ht="15" customHeight="1" spans="1:11">
      <c r="A20" s="20">
        <v>15</v>
      </c>
      <c r="B20" s="33" t="s">
        <v>45</v>
      </c>
      <c r="C20" s="8">
        <v>22</v>
      </c>
      <c r="D20" s="8" t="s">
        <v>30</v>
      </c>
      <c r="E20" s="8">
        <v>171</v>
      </c>
      <c r="F20" s="8">
        <v>74</v>
      </c>
      <c r="G20" s="17">
        <f t="shared" si="0"/>
        <v>25.3069320474676</v>
      </c>
      <c r="H20" s="12" t="str">
        <f t="shared" si="1"/>
        <v>Overweight</v>
      </c>
      <c r="I20" s="23">
        <v>8</v>
      </c>
      <c r="J20" s="34">
        <v>46306</v>
      </c>
      <c r="K20" s="35" t="s">
        <v>26</v>
      </c>
    </row>
    <row r="22" ht="15" customHeight="1" spans="1:11">
      <c r="A22" s="11" t="s">
        <v>46</v>
      </c>
    </row>
  </sheetData>
  <dataValidations count="4">
    <dataValidation type="whole" operator="between" allowBlank="1" errorTitle="Check age" error="Age should be 5-100." sqref="C6:C20" errorStyle="warning">
      <formula1>5</formula1>
      <formula2>100</formula2>
    </dataValidation>
    <dataValidation type="list" allowBlank="1" sqref="D6:D20">
      <formula1>"Male,Female,Other"</formula1>
    </dataValidation>
    <dataValidation type="decimal" operator="between" allowBlank="1" errorTitle="Check height" error="Height is usually 100-220 cm." sqref="E6:E20" errorStyle="warning">
      <formula1>100</formula1>
      <formula2>220</formula2>
    </dataValidation>
    <dataValidation type="decimal" operator="between" allowBlank="1" errorTitle="Check weight" error="Weight is usually 20-200 kg." sqref="F6:F20" errorStyle="warning">
      <formula1>20</formula1>
      <formula2>200</formula2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2E3A"/>
    <pageSetUpPr fitToPage="1"/>
  </sheetPr>
  <dimension ref="A1:Y125"/>
  <sheetViews>
    <sheetView showGridLines="0" workbookViewId="0">
      <pane xSplit="4" ySplit="5" topLeftCell="M89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8" style="1" customWidth="1"/>
    <col min="2" max="2" width="22" style="1" customWidth="1"/>
    <col min="3" max="3" width="8" style="1" customWidth="1"/>
    <col min="4" max="4" width="12" style="1" customWidth="1"/>
    <col min="5" max="5" width="14" style="1" customWidth="1"/>
    <col min="6" max="14" width="9" style="1" customWidth="1"/>
    <col min="15" max="16" width="8" style="1" customWidth="1"/>
    <col min="17" max="17" width="10" style="1" customWidth="1"/>
    <col min="18" max="18" width="8" style="1" customWidth="1"/>
    <col min="19" max="19" width="9" style="1" customWidth="1"/>
    <col min="20" max="20" width="10" style="1" customWidth="1"/>
    <col min="21" max="21" width="11" style="1" customWidth="1"/>
    <col min="22" max="22" width="9" style="1" customWidth="1"/>
    <col min="23" max="24" width="11" style="1" customWidth="1"/>
    <col min="25" max="25" width="12" style="1" customWidth="1"/>
  </cols>
  <sheetData>
    <row r="1" ht="27.75" customHeight="1" spans="1:25">
      <c r="A1" s="2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>
      <c r="A2" s="4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" customHeight="1" spans="1:25">
      <c r="A3" s="11" t="s">
        <v>48</v>
      </c>
    </row>
    <row r="5" ht="43.5" customHeight="1" spans="1:25">
      <c r="A5" s="5" t="s">
        <v>49</v>
      </c>
      <c r="B5" s="5" t="s">
        <v>13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  <c r="J5" s="5" t="s">
        <v>57</v>
      </c>
      <c r="K5" s="5" t="s">
        <v>58</v>
      </c>
      <c r="L5" s="5" t="s">
        <v>59</v>
      </c>
      <c r="M5" s="5" t="s">
        <v>60</v>
      </c>
      <c r="N5" s="5" t="s">
        <v>61</v>
      </c>
      <c r="O5" s="5" t="s">
        <v>62</v>
      </c>
      <c r="P5" s="5" t="s">
        <v>63</v>
      </c>
      <c r="Q5" s="5" t="s">
        <v>64</v>
      </c>
      <c r="R5" s="5" t="s">
        <v>65</v>
      </c>
      <c r="S5" s="5" t="s">
        <v>66</v>
      </c>
      <c r="T5" s="5" t="s">
        <v>67</v>
      </c>
      <c r="U5" s="5" t="s">
        <v>68</v>
      </c>
      <c r="V5" s="5" t="s">
        <v>69</v>
      </c>
      <c r="W5" s="5" t="s">
        <v>70</v>
      </c>
      <c r="X5" s="5" t="s">
        <v>71</v>
      </c>
      <c r="Y5" s="5" t="s">
        <v>72</v>
      </c>
    </row>
    <row r="6" ht="15" customHeight="1" spans="1:25">
      <c r="A6" s="20">
        <v>1</v>
      </c>
      <c r="B6" s="21" t="str">
        <f>INDEX(Participants!$B$6:$B$20,A6)</f>
        <v>Vidula Nijhawan</v>
      </c>
      <c r="C6" s="20">
        <v>1</v>
      </c>
      <c r="D6" s="22">
        <v>0.411041666666667</v>
      </c>
      <c r="E6" s="8" t="s">
        <v>73</v>
      </c>
      <c r="F6" s="8">
        <v>318</v>
      </c>
      <c r="G6" s="8">
        <v>435</v>
      </c>
      <c r="H6" s="8">
        <v>2565</v>
      </c>
      <c r="I6" s="10">
        <v>0.08</v>
      </c>
      <c r="J6" s="10">
        <v>0.07</v>
      </c>
      <c r="K6" s="10">
        <v>1.02</v>
      </c>
      <c r="L6" s="23">
        <v>3.1</v>
      </c>
      <c r="M6" s="23">
        <v>0.5</v>
      </c>
      <c r="N6" s="23">
        <v>2.5</v>
      </c>
      <c r="O6" s="23">
        <v>3.4</v>
      </c>
      <c r="P6" s="23">
        <v>1.1</v>
      </c>
      <c r="Q6" s="8">
        <v>203</v>
      </c>
      <c r="R6" s="8">
        <v>7</v>
      </c>
      <c r="S6" s="8" t="s">
        <v>74</v>
      </c>
      <c r="T6" s="16">
        <f t="shared" ref="T6:T69" si="0">IF(COUNT(I6:K6)&lt;3,"",SQRT(I6^2+J6^2+K6^2))</f>
        <v>1.0255242561734</v>
      </c>
      <c r="U6" s="17">
        <f t="shared" ref="U6:U69" si="1">IF(COUNT(L6:N6)&lt;3,"",SQRT(L6^2+M6^2+N6^2))</f>
        <v>4.0137264480779</v>
      </c>
      <c r="V6" s="17">
        <f t="shared" ref="V6:V69" si="2">IF(COUNT(O6:P6)&lt;2,"",SQRT(O6^2+P6^2))</f>
        <v>3.57351367704113</v>
      </c>
      <c r="W6" s="16">
        <f>IF(T6="","",0)</f>
        <v>0</v>
      </c>
      <c r="X6" s="12">
        <f>IF(OR(T6="",U6="",V6=""),"",MIN(100,IF(T6&gt;=Reference!$B$9,Reference!$C$9,IF(T6&gt;=Reference!$B$8,Reference!$C$8,IF(T6&gt;=Reference!$B$7,Reference!$C$7,0)))+IF(U6&gt;=Reference!$B$12,Reference!$C$12,IF(U6&gt;=Reference!$B$11,Reference!$C$11,IF(U6&gt;=Reference!$B$10,Reference!$C$10,0)))+IF(W6&gt;=Reference!$B$13,Reference!$C$13,0)+IF(V6&gt;=Reference!$B$15,Reference!$C$15,IF(V6&gt;=Reference!$B$14,Reference!$C$14,0))))</f>
        <v>0</v>
      </c>
      <c r="Y6" s="12" t="str">
        <f>IF(X6="","",IF(X6&gt;=Reference!$B$6,"HIGH",IF(X6&gt;Reference!$B$5,"MODERATE","LOW")))</f>
        <v>LOW</v>
      </c>
    </row>
    <row r="7" ht="15" customHeight="1" spans="1:25">
      <c r="A7" s="20">
        <v>1</v>
      </c>
      <c r="B7" s="21" t="str">
        <f>INDEX(Participants!$B$6:$B$20,A7)</f>
        <v>Vidula Nijhawan</v>
      </c>
      <c r="C7" s="20">
        <v>2</v>
      </c>
      <c r="D7" s="22">
        <v>0.411134259259259</v>
      </c>
      <c r="E7" s="8" t="s">
        <v>75</v>
      </c>
      <c r="F7" s="8">
        <v>980</v>
      </c>
      <c r="G7" s="8">
        <v>1422</v>
      </c>
      <c r="H7" s="8">
        <v>2401</v>
      </c>
      <c r="I7" s="10">
        <v>0.05</v>
      </c>
      <c r="J7" s="10">
        <v>-0.05</v>
      </c>
      <c r="K7" s="10">
        <v>0.98</v>
      </c>
      <c r="L7" s="23">
        <v>2.4</v>
      </c>
      <c r="M7" s="23">
        <v>0.7</v>
      </c>
      <c r="N7" s="23">
        <v>1.1</v>
      </c>
      <c r="O7" s="23">
        <v>1.3</v>
      </c>
      <c r="P7" s="23">
        <v>0.7</v>
      </c>
      <c r="Q7" s="8">
        <v>192</v>
      </c>
      <c r="R7" s="8">
        <v>7</v>
      </c>
      <c r="S7" s="8" t="s">
        <v>74</v>
      </c>
      <c r="T7" s="16">
        <f t="shared" si="0"/>
        <v>0.98254770876533</v>
      </c>
      <c r="U7" s="17">
        <f t="shared" si="1"/>
        <v>2.73130005674953</v>
      </c>
      <c r="V7" s="17">
        <f t="shared" si="2"/>
        <v>1.47648230602334</v>
      </c>
      <c r="W7" s="16">
        <f t="shared" ref="W7:W13" si="3">IF(T7="","",IF(T6="",0,ABS(T7-T6)))</f>
        <v>0.0429765474080674</v>
      </c>
      <c r="X7" s="12">
        <f>IF(OR(T7="",U7="",V7=""),"",MIN(100,IF(T7&gt;=Reference!$B$9,Reference!$C$9,IF(T7&gt;=Reference!$B$8,Reference!$C$8,IF(T7&gt;=Reference!$B$7,Reference!$C$7,0)))+IF(U7&gt;=Reference!$B$12,Reference!$C$12,IF(U7&gt;=Reference!$B$11,Reference!$C$11,IF(U7&gt;=Reference!$B$10,Reference!$C$10,0)))+IF(W7&gt;=Reference!$B$13,Reference!$C$13,0)+IF(V7&gt;=Reference!$B$15,Reference!$C$15,IF(V7&gt;=Reference!$B$14,Reference!$C$14,0))))</f>
        <v>0</v>
      </c>
      <c r="Y7" s="12" t="str">
        <f>IF(X7="","",IF(X7&gt;=Reference!$B$6,"HIGH",IF(X7&gt;Reference!$B$5,"MODERATE","LOW")))</f>
        <v>LOW</v>
      </c>
    </row>
    <row r="8" ht="15" customHeight="1" spans="1:25">
      <c r="A8" s="20">
        <v>1</v>
      </c>
      <c r="B8" s="21" t="str">
        <f>INDEX(Participants!$B$6:$B$20,A8)</f>
        <v>Vidula Nijhawan</v>
      </c>
      <c r="C8" s="20">
        <v>3</v>
      </c>
      <c r="D8" s="22">
        <v>0.411203703703704</v>
      </c>
      <c r="E8" s="8" t="s">
        <v>76</v>
      </c>
      <c r="F8" s="8">
        <v>1693</v>
      </c>
      <c r="G8" s="8">
        <v>1955</v>
      </c>
      <c r="H8" s="8">
        <v>1067</v>
      </c>
      <c r="I8" s="10">
        <v>0.02</v>
      </c>
      <c r="J8" s="10">
        <v>0.05</v>
      </c>
      <c r="K8" s="10">
        <v>1.07</v>
      </c>
      <c r="L8" s="23">
        <v>2</v>
      </c>
      <c r="M8" s="23">
        <v>-0.2</v>
      </c>
      <c r="N8" s="23">
        <v>0.3</v>
      </c>
      <c r="O8" s="23">
        <v>0.8</v>
      </c>
      <c r="P8" s="23">
        <v>0.5</v>
      </c>
      <c r="Q8" s="8">
        <v>198</v>
      </c>
      <c r="R8" s="8">
        <v>7</v>
      </c>
      <c r="S8" s="8" t="s">
        <v>74</v>
      </c>
      <c r="T8" s="16">
        <f t="shared" si="0"/>
        <v>1.07135428313887</v>
      </c>
      <c r="U8" s="17">
        <f t="shared" si="1"/>
        <v>2.03224014329016</v>
      </c>
      <c r="V8" s="17">
        <f t="shared" si="2"/>
        <v>0.94339811320566</v>
      </c>
      <c r="W8" s="16">
        <f t="shared" si="3"/>
        <v>0.0888065743735389</v>
      </c>
      <c r="X8" s="12">
        <f>IF(OR(T8="",U8="",V8=""),"",MIN(100,IF(T8&gt;=Reference!$B$9,Reference!$C$9,IF(T8&gt;=Reference!$B$8,Reference!$C$8,IF(T8&gt;=Reference!$B$7,Reference!$C$7,0)))+IF(U8&gt;=Reference!$B$12,Reference!$C$12,IF(U8&gt;=Reference!$B$11,Reference!$C$11,IF(U8&gt;=Reference!$B$10,Reference!$C$10,0)))+IF(W8&gt;=Reference!$B$13,Reference!$C$13,0)+IF(V8&gt;=Reference!$B$15,Reference!$C$15,IF(V8&gt;=Reference!$B$14,Reference!$C$14,0))))</f>
        <v>0</v>
      </c>
      <c r="Y8" s="12" t="str">
        <f>IF(X8="","",IF(X8&gt;=Reference!$B$6,"HIGH",IF(X8&gt;Reference!$B$5,"MODERATE","LOW")))</f>
        <v>LOW</v>
      </c>
    </row>
    <row r="9" ht="15" customHeight="1" spans="1:25">
      <c r="A9" s="20">
        <v>1</v>
      </c>
      <c r="B9" s="21" t="str">
        <f>INDEX(Participants!$B$6:$B$20,A9)</f>
        <v>Vidula Nijhawan</v>
      </c>
      <c r="C9" s="20">
        <v>4</v>
      </c>
      <c r="D9" s="22">
        <v>0.411319444444445</v>
      </c>
      <c r="E9" s="8" t="s">
        <v>77</v>
      </c>
      <c r="F9" s="8">
        <v>2571</v>
      </c>
      <c r="G9" s="8">
        <v>1042</v>
      </c>
      <c r="H9" s="8">
        <v>290</v>
      </c>
      <c r="I9" s="10">
        <v>-0.11</v>
      </c>
      <c r="J9" s="10">
        <v>0.08</v>
      </c>
      <c r="K9" s="10">
        <v>1.11</v>
      </c>
      <c r="L9" s="23">
        <v>9.7</v>
      </c>
      <c r="M9" s="23">
        <v>3</v>
      </c>
      <c r="N9" s="23">
        <v>3.6</v>
      </c>
      <c r="O9" s="23">
        <v>-5.9</v>
      </c>
      <c r="P9" s="23">
        <v>1.7</v>
      </c>
      <c r="Q9" s="8">
        <v>179</v>
      </c>
      <c r="R9" s="8">
        <v>7</v>
      </c>
      <c r="S9" s="8" t="s">
        <v>74</v>
      </c>
      <c r="T9" s="16">
        <f t="shared" si="0"/>
        <v>1.11830228471554</v>
      </c>
      <c r="U9" s="17">
        <f t="shared" si="1"/>
        <v>10.7726505559217</v>
      </c>
      <c r="V9" s="17">
        <f t="shared" si="2"/>
        <v>6.1400325732035</v>
      </c>
      <c r="W9" s="16">
        <f t="shared" si="3"/>
        <v>0.0469480015766726</v>
      </c>
      <c r="X9" s="12">
        <f>IF(OR(T9="",U9="",V9=""),"",MIN(100,IF(T9&gt;=Reference!$B$9,Reference!$C$9,IF(T9&gt;=Reference!$B$8,Reference!$C$8,IF(T9&gt;=Reference!$B$7,Reference!$C$7,0)))+IF(U9&gt;=Reference!$B$12,Reference!$C$12,IF(U9&gt;=Reference!$B$11,Reference!$C$11,IF(U9&gt;=Reference!$B$10,Reference!$C$10,0)))+IF(W9&gt;=Reference!$B$13,Reference!$C$13,0)+IF(V9&gt;=Reference!$B$15,Reference!$C$15,IF(V9&gt;=Reference!$B$14,Reference!$C$14,0))))</f>
        <v>0</v>
      </c>
      <c r="Y9" s="12" t="str">
        <f>IF(X9="","",IF(X9&gt;=Reference!$B$6,"HIGH",IF(X9&gt;Reference!$B$5,"MODERATE","LOW")))</f>
        <v>LOW</v>
      </c>
    </row>
    <row r="10" ht="15" customHeight="1" spans="1:25">
      <c r="A10" s="20">
        <v>1</v>
      </c>
      <c r="B10" s="21" t="str">
        <f>INDEX(Participants!$B$6:$B$20,A10)</f>
        <v>Vidula Nijhawan</v>
      </c>
      <c r="C10" s="20">
        <v>5</v>
      </c>
      <c r="D10" s="22">
        <v>0.411377314814815</v>
      </c>
      <c r="E10" s="8" t="s">
        <v>78</v>
      </c>
      <c r="F10" s="8">
        <v>100</v>
      </c>
      <c r="G10" s="8">
        <v>67</v>
      </c>
      <c r="H10" s="8">
        <v>42</v>
      </c>
      <c r="I10" s="10">
        <v>0.05</v>
      </c>
      <c r="J10" s="10">
        <v>0.01</v>
      </c>
      <c r="K10" s="10">
        <v>0.96</v>
      </c>
      <c r="L10" s="23">
        <v>12.7</v>
      </c>
      <c r="M10" s="23">
        <v>5.5</v>
      </c>
      <c r="N10" s="23">
        <v>7.1</v>
      </c>
      <c r="O10" s="23">
        <v>-9.4</v>
      </c>
      <c r="P10" s="23">
        <v>2.5</v>
      </c>
      <c r="Q10" s="8">
        <v>177</v>
      </c>
      <c r="R10" s="8">
        <v>6</v>
      </c>
      <c r="S10" s="8" t="s">
        <v>74</v>
      </c>
      <c r="T10" s="16">
        <f t="shared" si="0"/>
        <v>0.961353212924365</v>
      </c>
      <c r="U10" s="17">
        <f t="shared" si="1"/>
        <v>15.5547420422198</v>
      </c>
      <c r="V10" s="17">
        <f t="shared" si="2"/>
        <v>9.72676719162127</v>
      </c>
      <c r="W10" s="16">
        <f t="shared" si="3"/>
        <v>0.156949071791176</v>
      </c>
      <c r="X10" s="12">
        <f>IF(OR(T10="",U10="",V10=""),"",MIN(100,IF(T10&gt;=Reference!$B$9,Reference!$C$9,IF(T10&gt;=Reference!$B$8,Reference!$C$8,IF(T10&gt;=Reference!$B$7,Reference!$C$7,0)))+IF(U10&gt;=Reference!$B$12,Reference!$C$12,IF(U10&gt;=Reference!$B$11,Reference!$C$11,IF(U10&gt;=Reference!$B$10,Reference!$C$10,0)))+IF(W10&gt;=Reference!$B$13,Reference!$C$13,0)+IF(V10&gt;=Reference!$B$15,Reference!$C$15,IF(V10&gt;=Reference!$B$14,Reference!$C$14,0))))</f>
        <v>5</v>
      </c>
      <c r="Y10" s="12" t="str">
        <f>IF(X10="","",IF(X10&gt;=Reference!$B$6,"HIGH",IF(X10&gt;Reference!$B$5,"MODERATE","LOW")))</f>
        <v>LOW</v>
      </c>
    </row>
    <row r="11" ht="15" customHeight="1" spans="1:25">
      <c r="A11" s="20">
        <v>1</v>
      </c>
      <c r="B11" s="21" t="str">
        <f>INDEX(Participants!$B$6:$B$20,A11)</f>
        <v>Vidula Nijhawan</v>
      </c>
      <c r="C11" s="20">
        <v>6</v>
      </c>
      <c r="D11" s="22">
        <v>0.411481481481482</v>
      </c>
      <c r="E11" s="8" t="s">
        <v>73</v>
      </c>
      <c r="F11" s="8">
        <v>368</v>
      </c>
      <c r="G11" s="8">
        <v>429</v>
      </c>
      <c r="H11" s="8">
        <v>2685</v>
      </c>
      <c r="I11" s="10">
        <v>0.1</v>
      </c>
      <c r="J11" s="10">
        <v>0.04</v>
      </c>
      <c r="K11" s="10">
        <v>1.05</v>
      </c>
      <c r="L11" s="23">
        <v>4.8</v>
      </c>
      <c r="M11" s="23">
        <v>2.1</v>
      </c>
      <c r="N11" s="23">
        <v>1.9</v>
      </c>
      <c r="O11" s="23">
        <v>3.2</v>
      </c>
      <c r="P11" s="23">
        <v>1.1</v>
      </c>
      <c r="Q11" s="8">
        <v>252</v>
      </c>
      <c r="R11" s="8">
        <v>8</v>
      </c>
      <c r="S11" s="8" t="s">
        <v>74</v>
      </c>
      <c r="T11" s="16">
        <f t="shared" si="0"/>
        <v>1.0555093557141</v>
      </c>
      <c r="U11" s="17">
        <f t="shared" si="1"/>
        <v>5.57314991723711</v>
      </c>
      <c r="V11" s="17">
        <f t="shared" si="2"/>
        <v>3.38378486313773</v>
      </c>
      <c r="W11" s="16">
        <f t="shared" si="3"/>
        <v>0.0941561427897374</v>
      </c>
      <c r="X11" s="12">
        <f>IF(OR(T11="",U11="",V11=""),"",MIN(100,IF(T11&gt;=Reference!$B$9,Reference!$C$9,IF(T11&gt;=Reference!$B$8,Reference!$C$8,IF(T11&gt;=Reference!$B$7,Reference!$C$7,0)))+IF(U11&gt;=Reference!$B$12,Reference!$C$12,IF(U11&gt;=Reference!$B$11,Reference!$C$11,IF(U11&gt;=Reference!$B$10,Reference!$C$10,0)))+IF(W11&gt;=Reference!$B$13,Reference!$C$13,0)+IF(V11&gt;=Reference!$B$15,Reference!$C$15,IF(V11&gt;=Reference!$B$14,Reference!$C$14,0))))</f>
        <v>0</v>
      </c>
      <c r="Y11" s="12" t="str">
        <f>IF(X11="","",IF(X11&gt;=Reference!$B$6,"HIGH",IF(X11&gt;Reference!$B$5,"MODERATE","LOW")))</f>
        <v>LOW</v>
      </c>
    </row>
    <row r="12" ht="15" customHeight="1" spans="1:25">
      <c r="A12" s="20">
        <v>1</v>
      </c>
      <c r="B12" s="21" t="str">
        <f>INDEX(Participants!$B$6:$B$20,A12)</f>
        <v>Vidula Nijhawan</v>
      </c>
      <c r="C12" s="20">
        <v>7</v>
      </c>
      <c r="D12" s="22">
        <v>0.411550925925926</v>
      </c>
      <c r="E12" s="8" t="s">
        <v>75</v>
      </c>
      <c r="F12" s="8">
        <v>971</v>
      </c>
      <c r="G12" s="8">
        <v>1387</v>
      </c>
      <c r="H12" s="8">
        <v>2295</v>
      </c>
      <c r="I12" s="10">
        <v>0.02</v>
      </c>
      <c r="J12" s="10">
        <v>-0.05</v>
      </c>
      <c r="K12" s="10">
        <v>1.02</v>
      </c>
      <c r="L12" s="23">
        <v>2.3</v>
      </c>
      <c r="M12" s="23">
        <v>-0.1</v>
      </c>
      <c r="N12" s="23">
        <v>0.7</v>
      </c>
      <c r="O12" s="23">
        <v>1.1</v>
      </c>
      <c r="P12" s="23">
        <v>0.7</v>
      </c>
      <c r="Q12" s="8">
        <v>242</v>
      </c>
      <c r="R12" s="8">
        <v>6</v>
      </c>
      <c r="S12" s="8" t="s">
        <v>74</v>
      </c>
      <c r="T12" s="16">
        <f t="shared" si="0"/>
        <v>1.02142057938931</v>
      </c>
      <c r="U12" s="17">
        <f t="shared" si="1"/>
        <v>2.40624188310319</v>
      </c>
      <c r="V12" s="17">
        <f t="shared" si="2"/>
        <v>1.30384048104053</v>
      </c>
      <c r="W12" s="16">
        <f t="shared" si="3"/>
        <v>0.0340887763247897</v>
      </c>
      <c r="X12" s="12">
        <f>IF(OR(T12="",U12="",V12=""),"",MIN(100,IF(T12&gt;=Reference!$B$9,Reference!$C$9,IF(T12&gt;=Reference!$B$8,Reference!$C$8,IF(T12&gt;=Reference!$B$7,Reference!$C$7,0)))+IF(U12&gt;=Reference!$B$12,Reference!$C$12,IF(U12&gt;=Reference!$B$11,Reference!$C$11,IF(U12&gt;=Reference!$B$10,Reference!$C$10,0)))+IF(W12&gt;=Reference!$B$13,Reference!$C$13,0)+IF(V12&gt;=Reference!$B$15,Reference!$C$15,IF(V12&gt;=Reference!$B$14,Reference!$C$14,0))))</f>
        <v>0</v>
      </c>
      <c r="Y12" s="12" t="str">
        <f>IF(X12="","",IF(X12&gt;=Reference!$B$6,"HIGH",IF(X12&gt;Reference!$B$5,"MODERATE","LOW")))</f>
        <v>LOW</v>
      </c>
    </row>
    <row r="13" ht="15" customHeight="1" spans="1:25">
      <c r="A13" s="24">
        <v>1</v>
      </c>
      <c r="B13" s="25" t="str">
        <f>INDEX(Participants!$B$6:$B$20,A13)</f>
        <v>Vidula Nijhawan</v>
      </c>
      <c r="C13" s="24">
        <v>8</v>
      </c>
      <c r="D13" s="26">
        <v>0.411678240740741</v>
      </c>
      <c r="E13" s="27" t="s">
        <v>77</v>
      </c>
      <c r="F13" s="27">
        <v>2724</v>
      </c>
      <c r="G13" s="27">
        <v>1011</v>
      </c>
      <c r="H13" s="27">
        <v>231</v>
      </c>
      <c r="I13" s="28">
        <v>-0.09</v>
      </c>
      <c r="J13" s="28">
        <v>0.07</v>
      </c>
      <c r="K13" s="28">
        <v>1.07</v>
      </c>
      <c r="L13" s="29">
        <v>10</v>
      </c>
      <c r="M13" s="29">
        <v>3.1</v>
      </c>
      <c r="N13" s="29">
        <v>3.5</v>
      </c>
      <c r="O13" s="29">
        <v>-5.8</v>
      </c>
      <c r="P13" s="29">
        <v>1.8</v>
      </c>
      <c r="Q13" s="27">
        <v>202</v>
      </c>
      <c r="R13" s="27">
        <v>7</v>
      </c>
      <c r="S13" s="27" t="s">
        <v>74</v>
      </c>
      <c r="T13" s="30">
        <f t="shared" si="0"/>
        <v>1.0760576192751</v>
      </c>
      <c r="U13" s="31">
        <f t="shared" si="1"/>
        <v>11.0390216957845</v>
      </c>
      <c r="V13" s="31">
        <f t="shared" si="2"/>
        <v>6.07289058027559</v>
      </c>
      <c r="W13" s="30">
        <f t="shared" si="3"/>
        <v>0.0546370398857889</v>
      </c>
      <c r="X13" s="32">
        <f>IF(OR(T13="",U13="",V13=""),"",MIN(100,IF(T13&gt;=Reference!$B$9,Reference!$C$9,IF(T13&gt;=Reference!$B$8,Reference!$C$8,IF(T13&gt;=Reference!$B$7,Reference!$C$7,0)))+IF(U13&gt;=Reference!$B$12,Reference!$C$12,IF(U13&gt;=Reference!$B$11,Reference!$C$11,IF(U13&gt;=Reference!$B$10,Reference!$C$10,0)))+IF(W13&gt;=Reference!$B$13,Reference!$C$13,0)+IF(V13&gt;=Reference!$B$15,Reference!$C$15,IF(V13&gt;=Reference!$B$14,Reference!$C$14,0))))</f>
        <v>0</v>
      </c>
      <c r="Y13" s="32" t="str">
        <f>IF(X13="","",IF(X13&gt;=Reference!$B$6,"HIGH",IF(X13&gt;Reference!$B$5,"MODERATE","LOW")))</f>
        <v>LOW</v>
      </c>
    </row>
    <row r="14" ht="15" customHeight="1" spans="1:25">
      <c r="A14" s="20">
        <v>2</v>
      </c>
      <c r="B14" s="21" t="str">
        <f>INDEX(Participants!$B$6:$B$20,A14)</f>
        <v>Rishika Gupta</v>
      </c>
      <c r="C14" s="20">
        <v>1</v>
      </c>
      <c r="D14" s="22">
        <v>0.349155092592593</v>
      </c>
      <c r="E14" s="8" t="s">
        <v>73</v>
      </c>
      <c r="F14" s="8">
        <v>601</v>
      </c>
      <c r="G14" s="8">
        <v>803</v>
      </c>
      <c r="H14" s="8">
        <v>3554</v>
      </c>
      <c r="I14" s="10">
        <v>0.2</v>
      </c>
      <c r="J14" s="10">
        <v>0.13</v>
      </c>
      <c r="K14" s="10">
        <v>1.18</v>
      </c>
      <c r="L14" s="23">
        <v>20.4</v>
      </c>
      <c r="M14" s="23">
        <v>10.9</v>
      </c>
      <c r="N14" s="23">
        <v>9.4</v>
      </c>
      <c r="O14" s="23">
        <v>4.5</v>
      </c>
      <c r="P14" s="23">
        <v>2.2</v>
      </c>
      <c r="Q14" s="8">
        <v>160</v>
      </c>
      <c r="R14" s="8">
        <v>8</v>
      </c>
      <c r="S14" s="8" t="s">
        <v>74</v>
      </c>
      <c r="T14" s="16">
        <f t="shared" si="0"/>
        <v>1.20386876361172</v>
      </c>
      <c r="U14" s="17">
        <f t="shared" si="1"/>
        <v>24.9665776589424</v>
      </c>
      <c r="V14" s="17">
        <f t="shared" si="2"/>
        <v>5.00899191454728</v>
      </c>
      <c r="W14" s="16">
        <f>IF(T14="","",0)</f>
        <v>0</v>
      </c>
      <c r="X14" s="12">
        <f>IF(OR(T14="",U14="",V14=""),"",MIN(100,IF(T14&gt;=Reference!$B$9,Reference!$C$9,IF(T14&gt;=Reference!$B$8,Reference!$C$8,IF(T14&gt;=Reference!$B$7,Reference!$C$7,0)))+IF(U14&gt;=Reference!$B$12,Reference!$C$12,IF(U14&gt;=Reference!$B$11,Reference!$C$11,IF(U14&gt;=Reference!$B$10,Reference!$C$10,0)))+IF(W14&gt;=Reference!$B$13,Reference!$C$13,0)+IF(V14&gt;=Reference!$B$15,Reference!$C$15,IF(V14&gt;=Reference!$B$14,Reference!$C$14,0))))</f>
        <v>8</v>
      </c>
      <c r="Y14" s="12" t="str">
        <f>IF(X14="","",IF(X14&gt;=Reference!$B$6,"HIGH",IF(X14&gt;Reference!$B$5,"MODERATE","LOW")))</f>
        <v>LOW</v>
      </c>
    </row>
    <row r="15" ht="15" customHeight="1" spans="1:25">
      <c r="A15" s="20">
        <v>2</v>
      </c>
      <c r="B15" s="21" t="str">
        <f>INDEX(Participants!$B$6:$B$20,A15)</f>
        <v>Rishika Gupta</v>
      </c>
      <c r="C15" s="20">
        <v>2</v>
      </c>
      <c r="D15" s="22">
        <v>0.349224537037037</v>
      </c>
      <c r="E15" s="8" t="s">
        <v>75</v>
      </c>
      <c r="F15" s="8">
        <v>1622</v>
      </c>
      <c r="G15" s="8">
        <v>2330</v>
      </c>
      <c r="H15" s="8">
        <v>2725</v>
      </c>
      <c r="I15" s="10">
        <v>0.16</v>
      </c>
      <c r="J15" s="10">
        <v>-0.07</v>
      </c>
      <c r="K15" s="10">
        <v>1.12</v>
      </c>
      <c r="L15" s="23">
        <v>12.4</v>
      </c>
      <c r="M15" s="23">
        <v>8.5</v>
      </c>
      <c r="N15" s="23">
        <v>5</v>
      </c>
      <c r="O15" s="23">
        <v>2.6</v>
      </c>
      <c r="P15" s="23">
        <v>1.6</v>
      </c>
      <c r="Q15" s="8">
        <v>144</v>
      </c>
      <c r="R15" s="8">
        <v>9</v>
      </c>
      <c r="S15" s="8" t="s">
        <v>74</v>
      </c>
      <c r="T15" s="16">
        <f t="shared" si="0"/>
        <v>1.13353429590816</v>
      </c>
      <c r="U15" s="17">
        <f t="shared" si="1"/>
        <v>15.8432951118131</v>
      </c>
      <c r="V15" s="17">
        <f t="shared" si="2"/>
        <v>3.05286750449475</v>
      </c>
      <c r="W15" s="16">
        <f t="shared" ref="W15:W21" si="4">IF(T15="","",IF(T14="",0,ABS(T15-T14)))</f>
        <v>0.0703344677035587</v>
      </c>
      <c r="X15" s="12">
        <f>IF(OR(T15="",U15="",V15=""),"",MIN(100,IF(T15&gt;=Reference!$B$9,Reference!$C$9,IF(T15&gt;=Reference!$B$8,Reference!$C$8,IF(T15&gt;=Reference!$B$7,Reference!$C$7,0)))+IF(U15&gt;=Reference!$B$12,Reference!$C$12,IF(U15&gt;=Reference!$B$11,Reference!$C$11,IF(U15&gt;=Reference!$B$10,Reference!$C$10,0)))+IF(W15&gt;=Reference!$B$13,Reference!$C$13,0)+IF(V15&gt;=Reference!$B$15,Reference!$C$15,IF(V15&gt;=Reference!$B$14,Reference!$C$14,0))))</f>
        <v>0</v>
      </c>
      <c r="Y15" s="12" t="str">
        <f>IF(X15="","",IF(X15&gt;=Reference!$B$6,"HIGH",IF(X15&gt;Reference!$B$5,"MODERATE","LOW")))</f>
        <v>LOW</v>
      </c>
    </row>
    <row r="16" ht="15" customHeight="1" spans="1:25">
      <c r="A16" s="20">
        <v>2</v>
      </c>
      <c r="B16" s="21" t="str">
        <f>INDEX(Participants!$B$6:$B$20,A16)</f>
        <v>Rishika Gupta</v>
      </c>
      <c r="C16" s="20">
        <v>3</v>
      </c>
      <c r="D16" s="22">
        <v>0.349282407407407</v>
      </c>
      <c r="E16" s="8" t="s">
        <v>79</v>
      </c>
      <c r="F16" s="8">
        <v>3337</v>
      </c>
      <c r="G16" s="8">
        <v>1288</v>
      </c>
      <c r="H16" s="8">
        <v>444</v>
      </c>
      <c r="I16" s="10">
        <v>-0.32</v>
      </c>
      <c r="J16" s="10">
        <v>0.18</v>
      </c>
      <c r="K16" s="10">
        <v>1.3</v>
      </c>
      <c r="L16" s="23">
        <v>37.3</v>
      </c>
      <c r="M16" s="23">
        <v>20.6</v>
      </c>
      <c r="N16" s="23">
        <v>27.1</v>
      </c>
      <c r="O16" s="23">
        <v>4.7</v>
      </c>
      <c r="P16" s="23">
        <v>9.6</v>
      </c>
      <c r="Q16" s="8">
        <v>118</v>
      </c>
      <c r="R16" s="8">
        <v>9</v>
      </c>
      <c r="S16" s="8" t="s">
        <v>74</v>
      </c>
      <c r="T16" s="16">
        <f t="shared" si="0"/>
        <v>1.35085158326146</v>
      </c>
      <c r="U16" s="17">
        <f t="shared" si="1"/>
        <v>50.4981187768416</v>
      </c>
      <c r="V16" s="17">
        <f t="shared" si="2"/>
        <v>10.688779163216</v>
      </c>
      <c r="W16" s="16">
        <f t="shared" si="4"/>
        <v>0.217317287353306</v>
      </c>
      <c r="X16" s="12">
        <f>IF(OR(T16="",U16="",V16=""),"",MIN(100,IF(T16&gt;=Reference!$B$9,Reference!$C$9,IF(T16&gt;=Reference!$B$8,Reference!$C$8,IF(T16&gt;=Reference!$B$7,Reference!$C$7,0)))+IF(U16&gt;=Reference!$B$12,Reference!$C$12,IF(U16&gt;=Reference!$B$11,Reference!$C$11,IF(U16&gt;=Reference!$B$10,Reference!$C$10,0)))+IF(W16&gt;=Reference!$B$13,Reference!$C$13,0)+IF(V16&gt;=Reference!$B$15,Reference!$C$15,IF(V16&gt;=Reference!$B$14,Reference!$C$14,0))))</f>
        <v>35</v>
      </c>
      <c r="Y16" s="12" t="str">
        <f>IF(X16="","",IF(X16&gt;=Reference!$B$6,"HIGH",IF(X16&gt;Reference!$B$5,"MODERATE","LOW")))</f>
        <v>LOW</v>
      </c>
    </row>
    <row r="17" ht="15" customHeight="1" spans="1:25">
      <c r="A17" s="20">
        <v>2</v>
      </c>
      <c r="B17" s="21" t="str">
        <f>INDEX(Participants!$B$6:$B$20,A17)</f>
        <v>Rishika Gupta</v>
      </c>
      <c r="C17" s="20">
        <v>4</v>
      </c>
      <c r="D17" s="22">
        <v>0.349340277777778</v>
      </c>
      <c r="E17" s="8" t="s">
        <v>78</v>
      </c>
      <c r="F17" s="8">
        <v>129</v>
      </c>
      <c r="G17" s="8">
        <v>97</v>
      </c>
      <c r="H17" s="8">
        <v>63</v>
      </c>
      <c r="I17" s="10">
        <v>0.25</v>
      </c>
      <c r="J17" s="10">
        <v>0.24</v>
      </c>
      <c r="K17" s="10">
        <v>1.09</v>
      </c>
      <c r="L17" s="23">
        <v>22.2</v>
      </c>
      <c r="M17" s="23">
        <v>9.3</v>
      </c>
      <c r="N17" s="23">
        <v>15.9</v>
      </c>
      <c r="O17" s="23">
        <v>-7.7</v>
      </c>
      <c r="P17" s="23">
        <v>3.1</v>
      </c>
      <c r="Q17" s="8">
        <v>147</v>
      </c>
      <c r="R17" s="8">
        <v>9</v>
      </c>
      <c r="S17" s="8" t="s">
        <v>74</v>
      </c>
      <c r="T17" s="16">
        <f t="shared" si="0"/>
        <v>1.14376571027462</v>
      </c>
      <c r="U17" s="17">
        <f t="shared" si="1"/>
        <v>28.8468369149895</v>
      </c>
      <c r="V17" s="17">
        <f t="shared" si="2"/>
        <v>8.30060238777885</v>
      </c>
      <c r="W17" s="16">
        <f t="shared" si="4"/>
        <v>0.207085872986845</v>
      </c>
      <c r="X17" s="12">
        <f>IF(OR(T17="",U17="",V17=""),"",MIN(100,IF(T17&gt;=Reference!$B$9,Reference!$C$9,IF(T17&gt;=Reference!$B$8,Reference!$C$8,IF(T17&gt;=Reference!$B$7,Reference!$C$7,0)))+IF(U17&gt;=Reference!$B$12,Reference!$C$12,IF(U17&gt;=Reference!$B$11,Reference!$C$11,IF(U17&gt;=Reference!$B$10,Reference!$C$10,0)))+IF(W17&gt;=Reference!$B$13,Reference!$C$13,0)+IF(V17&gt;=Reference!$B$15,Reference!$C$15,IF(V17&gt;=Reference!$B$14,Reference!$C$14,0))))</f>
        <v>13</v>
      </c>
      <c r="Y17" s="12" t="str">
        <f>IF(X17="","",IF(X17&gt;=Reference!$B$6,"HIGH",IF(X17&gt;Reference!$B$5,"MODERATE","LOW")))</f>
        <v>LOW</v>
      </c>
    </row>
    <row r="18" ht="15" customHeight="1" spans="1:25">
      <c r="A18" s="20">
        <v>2</v>
      </c>
      <c r="B18" s="21" t="str">
        <f>INDEX(Participants!$B$6:$B$20,A18)</f>
        <v>Rishika Gupta</v>
      </c>
      <c r="C18" s="20">
        <v>5</v>
      </c>
      <c r="D18" s="22">
        <v>0.349421296296296</v>
      </c>
      <c r="E18" s="8" t="s">
        <v>79</v>
      </c>
      <c r="F18" s="8">
        <v>651</v>
      </c>
      <c r="G18" s="8">
        <v>735</v>
      </c>
      <c r="H18" s="8">
        <v>3892</v>
      </c>
      <c r="I18" s="10">
        <v>0.62</v>
      </c>
      <c r="J18" s="10">
        <v>0.34</v>
      </c>
      <c r="K18" s="10">
        <v>1.4</v>
      </c>
      <c r="L18" s="23">
        <v>40.1</v>
      </c>
      <c r="M18" s="23">
        <v>21.6</v>
      </c>
      <c r="N18" s="23">
        <v>37.2</v>
      </c>
      <c r="O18" s="23">
        <v>6.4</v>
      </c>
      <c r="P18" s="23">
        <v>8.3</v>
      </c>
      <c r="Q18" s="8">
        <v>93</v>
      </c>
      <c r="R18" s="8">
        <v>7</v>
      </c>
      <c r="S18" s="8" t="s">
        <v>74</v>
      </c>
      <c r="T18" s="16">
        <f t="shared" si="0"/>
        <v>1.56843871413581</v>
      </c>
      <c r="U18" s="17">
        <f t="shared" si="1"/>
        <v>58.8082477208767</v>
      </c>
      <c r="V18" s="17">
        <f t="shared" si="2"/>
        <v>10.4809350727881</v>
      </c>
      <c r="W18" s="16">
        <f t="shared" si="4"/>
        <v>0.424673003861195</v>
      </c>
      <c r="X18" s="12">
        <f>IF(OR(T18="",U18="",V18=""),"",MIN(100,IF(T18&gt;=Reference!$B$9,Reference!$C$9,IF(T18&gt;=Reference!$B$8,Reference!$C$8,IF(T18&gt;=Reference!$B$7,Reference!$C$7,0)))+IF(U18&gt;=Reference!$B$12,Reference!$C$12,IF(U18&gt;=Reference!$B$11,Reference!$C$11,IF(U18&gt;=Reference!$B$10,Reference!$C$10,0)))+IF(W18&gt;=Reference!$B$13,Reference!$C$13,0)+IF(V18&gt;=Reference!$B$15,Reference!$C$15,IF(V18&gt;=Reference!$B$14,Reference!$C$14,0))))</f>
        <v>65</v>
      </c>
      <c r="Y18" s="12" t="str">
        <f>IF(X18="","",IF(X18&gt;=Reference!$B$6,"HIGH",IF(X18&gt;Reference!$B$5,"MODERATE","LOW")))</f>
        <v>MODERATE</v>
      </c>
    </row>
    <row r="19" ht="15" customHeight="1" spans="1:25">
      <c r="A19" s="20">
        <v>2</v>
      </c>
      <c r="B19" s="21" t="str">
        <f>INDEX(Participants!$B$6:$B$20,A19)</f>
        <v>Rishika Gupta</v>
      </c>
      <c r="C19" s="20">
        <v>6</v>
      </c>
      <c r="D19" s="22">
        <v>0.349502314814815</v>
      </c>
      <c r="E19" s="8" t="s">
        <v>75</v>
      </c>
      <c r="F19" s="8">
        <v>1534</v>
      </c>
      <c r="G19" s="8">
        <v>2230</v>
      </c>
      <c r="H19" s="8">
        <v>2541</v>
      </c>
      <c r="I19" s="10">
        <v>0.18</v>
      </c>
      <c r="J19" s="10">
        <v>0.08</v>
      </c>
      <c r="K19" s="10">
        <v>1.14</v>
      </c>
      <c r="L19" s="23">
        <v>9.7</v>
      </c>
      <c r="M19" s="23">
        <v>7.2</v>
      </c>
      <c r="N19" s="23">
        <v>5.4</v>
      </c>
      <c r="O19" s="23">
        <v>3.2</v>
      </c>
      <c r="P19" s="23">
        <v>1.7</v>
      </c>
      <c r="Q19" s="8">
        <v>148</v>
      </c>
      <c r="R19" s="8">
        <v>8</v>
      </c>
      <c r="S19" s="8" t="s">
        <v>74</v>
      </c>
      <c r="T19" s="16">
        <f t="shared" si="0"/>
        <v>1.15689238911837</v>
      </c>
      <c r="U19" s="17">
        <f t="shared" si="1"/>
        <v>13.2321577983336</v>
      </c>
      <c r="V19" s="17">
        <f t="shared" si="2"/>
        <v>3.62353418639869</v>
      </c>
      <c r="W19" s="16">
        <f t="shared" si="4"/>
        <v>0.411546325017447</v>
      </c>
      <c r="X19" s="12">
        <f>IF(OR(T19="",U19="",V19=""),"",MIN(100,IF(T19&gt;=Reference!$B$9,Reference!$C$9,IF(T19&gt;=Reference!$B$8,Reference!$C$8,IF(T19&gt;=Reference!$B$7,Reference!$C$7,0)))+IF(U19&gt;=Reference!$B$12,Reference!$C$12,IF(U19&gt;=Reference!$B$11,Reference!$C$11,IF(U19&gt;=Reference!$B$10,Reference!$C$10,0)))+IF(W19&gt;=Reference!$B$13,Reference!$C$13,0)+IF(V19&gt;=Reference!$B$15,Reference!$C$15,IF(V19&gt;=Reference!$B$14,Reference!$C$14,0))))</f>
        <v>15</v>
      </c>
      <c r="Y19" s="12" t="str">
        <f>IF(X19="","",IF(X19&gt;=Reference!$B$6,"HIGH",IF(X19&gt;Reference!$B$5,"MODERATE","LOW")))</f>
        <v>LOW</v>
      </c>
    </row>
    <row r="20" ht="15" customHeight="1" spans="1:25">
      <c r="A20" s="20">
        <v>2</v>
      </c>
      <c r="B20" s="21" t="str">
        <f>INDEX(Participants!$B$6:$B$20,A20)</f>
        <v>Rishika Gupta</v>
      </c>
      <c r="C20" s="20">
        <v>7</v>
      </c>
      <c r="D20" s="22">
        <v>0.349537037037037</v>
      </c>
      <c r="E20" s="8" t="s">
        <v>77</v>
      </c>
      <c r="F20" s="8">
        <v>3604</v>
      </c>
      <c r="G20" s="8">
        <v>1369</v>
      </c>
      <c r="H20" s="8">
        <v>401</v>
      </c>
      <c r="I20" s="10">
        <v>0.1</v>
      </c>
      <c r="J20" s="10">
        <v>-0.06</v>
      </c>
      <c r="K20" s="10">
        <v>1.1</v>
      </c>
      <c r="L20" s="23">
        <v>9.1</v>
      </c>
      <c r="M20" s="23">
        <v>4.2</v>
      </c>
      <c r="N20" s="23">
        <v>2.8</v>
      </c>
      <c r="O20" s="23">
        <v>-5.1</v>
      </c>
      <c r="P20" s="23">
        <v>2.4</v>
      </c>
      <c r="Q20" s="8">
        <v>172</v>
      </c>
      <c r="R20" s="8">
        <v>9</v>
      </c>
      <c r="S20" s="8" t="s">
        <v>74</v>
      </c>
      <c r="T20" s="16">
        <f t="shared" si="0"/>
        <v>1.10616454472199</v>
      </c>
      <c r="U20" s="17">
        <f t="shared" si="1"/>
        <v>10.406248123123</v>
      </c>
      <c r="V20" s="17">
        <f t="shared" si="2"/>
        <v>5.63648826841678</v>
      </c>
      <c r="W20" s="16">
        <f t="shared" si="4"/>
        <v>0.0507278443963788</v>
      </c>
      <c r="X20" s="12">
        <f>IF(OR(T20="",U20="",V20=""),"",MIN(100,IF(T20&gt;=Reference!$B$9,Reference!$C$9,IF(T20&gt;=Reference!$B$8,Reference!$C$8,IF(T20&gt;=Reference!$B$7,Reference!$C$7,0)))+IF(U20&gt;=Reference!$B$12,Reference!$C$12,IF(U20&gt;=Reference!$B$11,Reference!$C$11,IF(U20&gt;=Reference!$B$10,Reference!$C$10,0)))+IF(W20&gt;=Reference!$B$13,Reference!$C$13,0)+IF(V20&gt;=Reference!$B$15,Reference!$C$15,IF(V20&gt;=Reference!$B$14,Reference!$C$14,0))))</f>
        <v>0</v>
      </c>
      <c r="Y20" s="12" t="str">
        <f>IF(X20="","",IF(X20&gt;=Reference!$B$6,"HIGH",IF(X20&gt;Reference!$B$5,"MODERATE","LOW")))</f>
        <v>LOW</v>
      </c>
    </row>
    <row r="21" ht="15" customHeight="1" spans="1:25">
      <c r="A21" s="24">
        <v>2</v>
      </c>
      <c r="B21" s="25" t="str">
        <f>INDEX(Participants!$B$6:$B$20,A21)</f>
        <v>Rishika Gupta</v>
      </c>
      <c r="C21" s="24">
        <v>8</v>
      </c>
      <c r="D21" s="26">
        <v>0.349606481481482</v>
      </c>
      <c r="E21" s="27" t="s">
        <v>73</v>
      </c>
      <c r="F21" s="27">
        <v>611</v>
      </c>
      <c r="G21" s="27">
        <v>864</v>
      </c>
      <c r="H21" s="27">
        <v>3312</v>
      </c>
      <c r="I21" s="28">
        <v>0.32</v>
      </c>
      <c r="J21" s="28">
        <v>0.17</v>
      </c>
      <c r="K21" s="28">
        <v>1.21</v>
      </c>
      <c r="L21" s="29">
        <v>22.8</v>
      </c>
      <c r="M21" s="29">
        <v>13.6</v>
      </c>
      <c r="N21" s="29">
        <v>16.1</v>
      </c>
      <c r="O21" s="29">
        <v>4.5</v>
      </c>
      <c r="P21" s="29">
        <v>2.8</v>
      </c>
      <c r="Q21" s="27">
        <v>112</v>
      </c>
      <c r="R21" s="27">
        <v>7</v>
      </c>
      <c r="S21" s="27" t="s">
        <v>74</v>
      </c>
      <c r="T21" s="30">
        <f t="shared" si="0"/>
        <v>1.26309144562062</v>
      </c>
      <c r="U21" s="31">
        <f t="shared" si="1"/>
        <v>31.048510431259</v>
      </c>
      <c r="V21" s="31">
        <f t="shared" si="2"/>
        <v>5.3</v>
      </c>
      <c r="W21" s="30">
        <f t="shared" si="4"/>
        <v>0.156926900898638</v>
      </c>
      <c r="X21" s="32">
        <f>IF(OR(T21="",U21="",V21=""),"",MIN(100,IF(T21&gt;=Reference!$B$9,Reference!$C$9,IF(T21&gt;=Reference!$B$8,Reference!$C$8,IF(T21&gt;=Reference!$B$7,Reference!$C$7,0)))+IF(U21&gt;=Reference!$B$12,Reference!$C$12,IF(U21&gt;=Reference!$B$11,Reference!$C$11,IF(U21&gt;=Reference!$B$10,Reference!$C$10,0)))+IF(W21&gt;=Reference!$B$13,Reference!$C$13,0)+IF(V21&gt;=Reference!$B$15,Reference!$C$15,IF(V21&gt;=Reference!$B$14,Reference!$C$14,0))))</f>
        <v>20</v>
      </c>
      <c r="Y21" s="32" t="str">
        <f>IF(X21="","",IF(X21&gt;=Reference!$B$6,"HIGH",IF(X21&gt;Reference!$B$5,"MODERATE","LOW")))</f>
        <v>LOW</v>
      </c>
    </row>
    <row r="22" ht="15" customHeight="1" spans="1:25">
      <c r="A22" s="20">
        <v>3</v>
      </c>
      <c r="B22" s="21" t="str">
        <f>INDEX(Participants!$B$6:$B$20,A22)</f>
        <v>Vishav Gupta</v>
      </c>
      <c r="C22" s="20">
        <v>1</v>
      </c>
      <c r="D22" s="22">
        <v>0.384027777777778</v>
      </c>
      <c r="E22" s="8" t="s">
        <v>73</v>
      </c>
      <c r="F22" s="8">
        <v>280</v>
      </c>
      <c r="G22" s="8">
        <v>439</v>
      </c>
      <c r="H22" s="8">
        <v>2551</v>
      </c>
      <c r="I22" s="10">
        <v>0.09</v>
      </c>
      <c r="J22" s="10">
        <v>0.05</v>
      </c>
      <c r="K22" s="10">
        <v>1.03</v>
      </c>
      <c r="L22" s="23">
        <v>4.6</v>
      </c>
      <c r="M22" s="23">
        <v>1.8</v>
      </c>
      <c r="N22" s="23">
        <v>2.2</v>
      </c>
      <c r="O22" s="23">
        <v>2.9</v>
      </c>
      <c r="P22" s="23">
        <v>1.1</v>
      </c>
      <c r="Q22" s="8">
        <v>237</v>
      </c>
      <c r="R22" s="8">
        <v>7</v>
      </c>
      <c r="S22" s="8" t="s">
        <v>74</v>
      </c>
      <c r="T22" s="16">
        <f t="shared" si="0"/>
        <v>1.03513284171646</v>
      </c>
      <c r="U22" s="17">
        <f t="shared" si="1"/>
        <v>5.40740233383831</v>
      </c>
      <c r="V22" s="17">
        <f t="shared" si="2"/>
        <v>3.10161248385416</v>
      </c>
      <c r="W22" s="16">
        <f>IF(T22="","",0)</f>
        <v>0</v>
      </c>
      <c r="X22" s="12">
        <f>IF(OR(T22="",U22="",V22=""),"",MIN(100,IF(T22&gt;=Reference!$B$9,Reference!$C$9,IF(T22&gt;=Reference!$B$8,Reference!$C$8,IF(T22&gt;=Reference!$B$7,Reference!$C$7,0)))+IF(U22&gt;=Reference!$B$12,Reference!$C$12,IF(U22&gt;=Reference!$B$11,Reference!$C$11,IF(U22&gt;=Reference!$B$10,Reference!$C$10,0)))+IF(W22&gt;=Reference!$B$13,Reference!$C$13,0)+IF(V22&gt;=Reference!$B$15,Reference!$C$15,IF(V22&gt;=Reference!$B$14,Reference!$C$14,0))))</f>
        <v>0</v>
      </c>
      <c r="Y22" s="12" t="str">
        <f>IF(X22="","",IF(X22&gt;=Reference!$B$6,"HIGH",IF(X22&gt;Reference!$B$5,"MODERATE","LOW")))</f>
        <v>LOW</v>
      </c>
    </row>
    <row r="23" ht="15" customHeight="1" spans="1:25">
      <c r="A23" s="20">
        <v>3</v>
      </c>
      <c r="B23" s="21" t="str">
        <f>INDEX(Participants!$B$6:$B$20,A23)</f>
        <v>Vishav Gupta</v>
      </c>
      <c r="C23" s="20">
        <v>2</v>
      </c>
      <c r="D23" s="22">
        <v>0.38412037037037</v>
      </c>
      <c r="E23" s="8" t="s">
        <v>75</v>
      </c>
      <c r="F23" s="8">
        <v>971</v>
      </c>
      <c r="G23" s="8">
        <v>1559</v>
      </c>
      <c r="H23" s="8">
        <v>2183</v>
      </c>
      <c r="I23" s="10">
        <v>0.05</v>
      </c>
      <c r="J23" s="10">
        <v>-0.03</v>
      </c>
      <c r="K23" s="10">
        <v>0.99</v>
      </c>
      <c r="L23" s="23">
        <v>1.9</v>
      </c>
      <c r="M23" s="23">
        <v>0.5</v>
      </c>
      <c r="N23" s="23">
        <v>1.1</v>
      </c>
      <c r="O23" s="23">
        <v>1.5</v>
      </c>
      <c r="P23" s="23">
        <v>0.8</v>
      </c>
      <c r="Q23" s="8">
        <v>211</v>
      </c>
      <c r="R23" s="8">
        <v>8</v>
      </c>
      <c r="S23" s="8" t="s">
        <v>74</v>
      </c>
      <c r="T23" s="16">
        <f t="shared" si="0"/>
        <v>0.991715685063012</v>
      </c>
      <c r="U23" s="17">
        <f t="shared" si="1"/>
        <v>2.25166604983954</v>
      </c>
      <c r="V23" s="17">
        <f t="shared" si="2"/>
        <v>1.7</v>
      </c>
      <c r="W23" s="16">
        <f t="shared" ref="W23:W29" si="5">IF(T23="","",IF(T22="",0,ABS(T23-T22)))</f>
        <v>0.0434171566534506</v>
      </c>
      <c r="X23" s="12">
        <f>IF(OR(T23="",U23="",V23=""),"",MIN(100,IF(T23&gt;=Reference!$B$9,Reference!$C$9,IF(T23&gt;=Reference!$B$8,Reference!$C$8,IF(T23&gt;=Reference!$B$7,Reference!$C$7,0)))+IF(U23&gt;=Reference!$B$12,Reference!$C$12,IF(U23&gt;=Reference!$B$11,Reference!$C$11,IF(U23&gt;=Reference!$B$10,Reference!$C$10,0)))+IF(W23&gt;=Reference!$B$13,Reference!$C$13,0)+IF(V23&gt;=Reference!$B$15,Reference!$C$15,IF(V23&gt;=Reference!$B$14,Reference!$C$14,0))))</f>
        <v>0</v>
      </c>
      <c r="Y23" s="12" t="str">
        <f>IF(X23="","",IF(X23&gt;=Reference!$B$6,"HIGH",IF(X23&gt;Reference!$B$5,"MODERATE","LOW")))</f>
        <v>LOW</v>
      </c>
    </row>
    <row r="24" ht="15" customHeight="1" spans="1:25">
      <c r="A24" s="20">
        <v>3</v>
      </c>
      <c r="B24" s="21" t="str">
        <f>INDEX(Participants!$B$6:$B$20,A24)</f>
        <v>Vishav Gupta</v>
      </c>
      <c r="C24" s="20">
        <v>3</v>
      </c>
      <c r="D24" s="22">
        <v>0.384189814814815</v>
      </c>
      <c r="E24" s="8" t="s">
        <v>76</v>
      </c>
      <c r="F24" s="8">
        <v>1905</v>
      </c>
      <c r="G24" s="8">
        <v>1830</v>
      </c>
      <c r="H24" s="8">
        <v>1191</v>
      </c>
      <c r="I24" s="10">
        <v>0.02</v>
      </c>
      <c r="J24" s="10">
        <v>0.05</v>
      </c>
      <c r="K24" s="10">
        <v>1.05</v>
      </c>
      <c r="L24" s="23">
        <v>1.7</v>
      </c>
      <c r="M24" s="23">
        <v>-0.2</v>
      </c>
      <c r="N24" s="23">
        <v>0.1</v>
      </c>
      <c r="O24" s="23">
        <v>0.9</v>
      </c>
      <c r="P24" s="23">
        <v>0.5</v>
      </c>
      <c r="Q24" s="8">
        <v>176</v>
      </c>
      <c r="R24" s="8">
        <v>8</v>
      </c>
      <c r="S24" s="8" t="s">
        <v>74</v>
      </c>
      <c r="T24" s="16">
        <f t="shared" si="0"/>
        <v>1.05138004546406</v>
      </c>
      <c r="U24" s="17">
        <f t="shared" si="1"/>
        <v>1.71464281994822</v>
      </c>
      <c r="V24" s="17">
        <f t="shared" si="2"/>
        <v>1.0295630140987</v>
      </c>
      <c r="W24" s="16">
        <f t="shared" si="5"/>
        <v>0.0596643604010435</v>
      </c>
      <c r="X24" s="12">
        <f>IF(OR(T24="",U24="",V24=""),"",MIN(100,IF(T24&gt;=Reference!$B$9,Reference!$C$9,IF(T24&gt;=Reference!$B$8,Reference!$C$8,IF(T24&gt;=Reference!$B$7,Reference!$C$7,0)))+IF(U24&gt;=Reference!$B$12,Reference!$C$12,IF(U24&gt;=Reference!$B$11,Reference!$C$11,IF(U24&gt;=Reference!$B$10,Reference!$C$10,0)))+IF(W24&gt;=Reference!$B$13,Reference!$C$13,0)+IF(V24&gt;=Reference!$B$15,Reference!$C$15,IF(V24&gt;=Reference!$B$14,Reference!$C$14,0))))</f>
        <v>0</v>
      </c>
      <c r="Y24" s="12" t="str">
        <f>IF(X24="","",IF(X24&gt;=Reference!$B$6,"HIGH",IF(X24&gt;Reference!$B$5,"MODERATE","LOW")))</f>
        <v>LOW</v>
      </c>
    </row>
    <row r="25" ht="15" customHeight="1" spans="1:25">
      <c r="A25" s="20">
        <v>3</v>
      </c>
      <c r="B25" s="21" t="str">
        <f>INDEX(Participants!$B$6:$B$20,A25)</f>
        <v>Vishav Gupta</v>
      </c>
      <c r="C25" s="20">
        <v>4</v>
      </c>
      <c r="D25" s="22">
        <v>0.384293981481482</v>
      </c>
      <c r="E25" s="8" t="s">
        <v>77</v>
      </c>
      <c r="F25" s="8">
        <v>2893</v>
      </c>
      <c r="G25" s="8">
        <v>1090</v>
      </c>
      <c r="H25" s="8">
        <v>272</v>
      </c>
      <c r="I25" s="10">
        <v>-0.13</v>
      </c>
      <c r="J25" s="10">
        <v>0.07</v>
      </c>
      <c r="K25" s="10">
        <v>1.11</v>
      </c>
      <c r="L25" s="23">
        <v>8.3</v>
      </c>
      <c r="M25" s="23">
        <v>3.4</v>
      </c>
      <c r="N25" s="23">
        <v>4.2</v>
      </c>
      <c r="O25" s="23">
        <v>-6.1</v>
      </c>
      <c r="P25" s="23">
        <v>1.9</v>
      </c>
      <c r="Q25" s="8">
        <v>174</v>
      </c>
      <c r="R25" s="8">
        <v>7</v>
      </c>
      <c r="S25" s="8" t="s">
        <v>74</v>
      </c>
      <c r="T25" s="16">
        <f t="shared" si="0"/>
        <v>1.11977676346672</v>
      </c>
      <c r="U25" s="17">
        <f t="shared" si="1"/>
        <v>9.9040395798886</v>
      </c>
      <c r="V25" s="17">
        <f t="shared" si="2"/>
        <v>6.38905313798531</v>
      </c>
      <c r="W25" s="16">
        <f t="shared" si="5"/>
        <v>0.068396718002663</v>
      </c>
      <c r="X25" s="12">
        <f>IF(OR(T25="",U25="",V25=""),"",MIN(100,IF(T25&gt;=Reference!$B$9,Reference!$C$9,IF(T25&gt;=Reference!$B$8,Reference!$C$8,IF(T25&gt;=Reference!$B$7,Reference!$C$7,0)))+IF(U25&gt;=Reference!$B$12,Reference!$C$12,IF(U25&gt;=Reference!$B$11,Reference!$C$11,IF(U25&gt;=Reference!$B$10,Reference!$C$10,0)))+IF(W25&gt;=Reference!$B$13,Reference!$C$13,0)+IF(V25&gt;=Reference!$B$15,Reference!$C$15,IF(V25&gt;=Reference!$B$14,Reference!$C$14,0))))</f>
        <v>0</v>
      </c>
      <c r="Y25" s="12" t="str">
        <f>IF(X25="","",IF(X25&gt;=Reference!$B$6,"HIGH",IF(X25&gt;Reference!$B$5,"MODERATE","LOW")))</f>
        <v>LOW</v>
      </c>
    </row>
    <row r="26" ht="15" customHeight="1" spans="1:25">
      <c r="A26" s="20">
        <v>3</v>
      </c>
      <c r="B26" s="21" t="str">
        <f>INDEX(Participants!$B$6:$B$20,A26)</f>
        <v>Vishav Gupta</v>
      </c>
      <c r="C26" s="20">
        <v>5</v>
      </c>
      <c r="D26" s="22">
        <v>0.384375</v>
      </c>
      <c r="E26" s="8" t="s">
        <v>78</v>
      </c>
      <c r="F26" s="8">
        <v>101</v>
      </c>
      <c r="G26" s="8">
        <v>58</v>
      </c>
      <c r="H26" s="8">
        <v>45</v>
      </c>
      <c r="I26" s="10">
        <v>0.04</v>
      </c>
      <c r="J26" s="10">
        <v>0.05</v>
      </c>
      <c r="K26" s="10">
        <v>0.97</v>
      </c>
      <c r="L26" s="23">
        <v>16.5</v>
      </c>
      <c r="M26" s="23">
        <v>4.4</v>
      </c>
      <c r="N26" s="23">
        <v>6.4</v>
      </c>
      <c r="O26" s="23">
        <v>-10.4</v>
      </c>
      <c r="P26" s="23">
        <v>2.3</v>
      </c>
      <c r="Q26" s="8">
        <v>169</v>
      </c>
      <c r="R26" s="8">
        <v>7</v>
      </c>
      <c r="S26" s="8" t="s">
        <v>74</v>
      </c>
      <c r="T26" s="16">
        <f t="shared" si="0"/>
        <v>0.972111104761179</v>
      </c>
      <c r="U26" s="17">
        <f t="shared" si="1"/>
        <v>18.2365018575384</v>
      </c>
      <c r="V26" s="17">
        <f t="shared" si="2"/>
        <v>10.6512910015641</v>
      </c>
      <c r="W26" s="16">
        <f t="shared" si="5"/>
        <v>0.14766565870554</v>
      </c>
      <c r="X26" s="12">
        <f>IF(OR(T26="",U26="",V26=""),"",MIN(100,IF(T26&gt;=Reference!$B$9,Reference!$C$9,IF(T26&gt;=Reference!$B$8,Reference!$C$8,IF(T26&gt;=Reference!$B$7,Reference!$C$7,0)))+IF(U26&gt;=Reference!$B$12,Reference!$C$12,IF(U26&gt;=Reference!$B$11,Reference!$C$11,IF(U26&gt;=Reference!$B$10,Reference!$C$10,0)))+IF(W26&gt;=Reference!$B$13,Reference!$C$13,0)+IF(V26&gt;=Reference!$B$15,Reference!$C$15,IF(V26&gt;=Reference!$B$14,Reference!$C$14,0))))</f>
        <v>5</v>
      </c>
      <c r="Y26" s="12" t="str">
        <f>IF(X26="","",IF(X26&gt;=Reference!$B$6,"HIGH",IF(X26&gt;Reference!$B$5,"MODERATE","LOW")))</f>
        <v>LOW</v>
      </c>
    </row>
    <row r="27" ht="15" customHeight="1" spans="1:25">
      <c r="A27" s="20">
        <v>3</v>
      </c>
      <c r="B27" s="21" t="str">
        <f>INDEX(Participants!$B$6:$B$20,A27)</f>
        <v>Vishav Gupta</v>
      </c>
      <c r="C27" s="20">
        <v>6</v>
      </c>
      <c r="D27" s="22">
        <v>0.384467592592593</v>
      </c>
      <c r="E27" s="8" t="s">
        <v>73</v>
      </c>
      <c r="F27" s="8">
        <v>311</v>
      </c>
      <c r="G27" s="8">
        <v>514</v>
      </c>
      <c r="H27" s="8">
        <v>2699</v>
      </c>
      <c r="I27" s="10">
        <v>0.09</v>
      </c>
      <c r="J27" s="10">
        <v>0.06</v>
      </c>
      <c r="K27" s="10">
        <v>1.04</v>
      </c>
      <c r="L27" s="23">
        <v>5.3</v>
      </c>
      <c r="M27" s="23">
        <v>2.1</v>
      </c>
      <c r="N27" s="23">
        <v>2.4</v>
      </c>
      <c r="O27" s="23">
        <v>3.5</v>
      </c>
      <c r="P27" s="23">
        <v>1.2</v>
      </c>
      <c r="Q27" s="8">
        <v>230</v>
      </c>
      <c r="R27" s="8">
        <v>8</v>
      </c>
      <c r="S27" s="8" t="s">
        <v>74</v>
      </c>
      <c r="T27" s="16">
        <f t="shared" si="0"/>
        <v>1.04560986988456</v>
      </c>
      <c r="U27" s="17">
        <f t="shared" si="1"/>
        <v>6.18546683767685</v>
      </c>
      <c r="V27" s="17">
        <f t="shared" si="2"/>
        <v>3.7</v>
      </c>
      <c r="W27" s="16">
        <f t="shared" si="5"/>
        <v>0.0734987651233781</v>
      </c>
      <c r="X27" s="12">
        <f>IF(OR(T27="",U27="",V27=""),"",MIN(100,IF(T27&gt;=Reference!$B$9,Reference!$C$9,IF(T27&gt;=Reference!$B$8,Reference!$C$8,IF(T27&gt;=Reference!$B$7,Reference!$C$7,0)))+IF(U27&gt;=Reference!$B$12,Reference!$C$12,IF(U27&gt;=Reference!$B$11,Reference!$C$11,IF(U27&gt;=Reference!$B$10,Reference!$C$10,0)))+IF(W27&gt;=Reference!$B$13,Reference!$C$13,0)+IF(V27&gt;=Reference!$B$15,Reference!$C$15,IF(V27&gt;=Reference!$B$14,Reference!$C$14,0))))</f>
        <v>0</v>
      </c>
      <c r="Y27" s="12" t="str">
        <f>IF(X27="","",IF(X27&gt;=Reference!$B$6,"HIGH",IF(X27&gt;Reference!$B$5,"MODERATE","LOW")))</f>
        <v>LOW</v>
      </c>
    </row>
    <row r="28" ht="15" customHeight="1" spans="1:25">
      <c r="A28" s="20">
        <v>3</v>
      </c>
      <c r="B28" s="21" t="str">
        <f>INDEX(Participants!$B$6:$B$20,A28)</f>
        <v>Vishav Gupta</v>
      </c>
      <c r="C28" s="20">
        <v>7</v>
      </c>
      <c r="D28" s="22">
        <v>0.384525462962963</v>
      </c>
      <c r="E28" s="8" t="s">
        <v>75</v>
      </c>
      <c r="F28" s="8">
        <v>1052</v>
      </c>
      <c r="G28" s="8">
        <v>1570</v>
      </c>
      <c r="H28" s="8">
        <v>2202</v>
      </c>
      <c r="I28" s="10">
        <v>0.01</v>
      </c>
      <c r="J28" s="10">
        <v>-0.01</v>
      </c>
      <c r="K28" s="10">
        <v>1</v>
      </c>
      <c r="L28" s="23">
        <v>2.4</v>
      </c>
      <c r="M28" s="23">
        <v>1.2</v>
      </c>
      <c r="N28" s="23">
        <v>0.6</v>
      </c>
      <c r="O28" s="23">
        <v>1.2</v>
      </c>
      <c r="P28" s="23">
        <v>0.6</v>
      </c>
      <c r="Q28" s="8">
        <v>227</v>
      </c>
      <c r="R28" s="8">
        <v>7</v>
      </c>
      <c r="S28" s="8" t="s">
        <v>74</v>
      </c>
      <c r="T28" s="16">
        <f t="shared" si="0"/>
        <v>1.0000999950005</v>
      </c>
      <c r="U28" s="17">
        <f t="shared" si="1"/>
        <v>2.7495454169735</v>
      </c>
      <c r="V28" s="17">
        <f t="shared" si="2"/>
        <v>1.34164078649987</v>
      </c>
      <c r="W28" s="16">
        <f t="shared" si="5"/>
        <v>0.0455098748840572</v>
      </c>
      <c r="X28" s="12">
        <f>IF(OR(T28="",U28="",V28=""),"",MIN(100,IF(T28&gt;=Reference!$B$9,Reference!$C$9,IF(T28&gt;=Reference!$B$8,Reference!$C$8,IF(T28&gt;=Reference!$B$7,Reference!$C$7,0)))+IF(U28&gt;=Reference!$B$12,Reference!$C$12,IF(U28&gt;=Reference!$B$11,Reference!$C$11,IF(U28&gt;=Reference!$B$10,Reference!$C$10,0)))+IF(W28&gt;=Reference!$B$13,Reference!$C$13,0)+IF(V28&gt;=Reference!$B$15,Reference!$C$15,IF(V28&gt;=Reference!$B$14,Reference!$C$14,0))))</f>
        <v>0</v>
      </c>
      <c r="Y28" s="12" t="str">
        <f>IF(X28="","",IF(X28&gt;=Reference!$B$6,"HIGH",IF(X28&gt;Reference!$B$5,"MODERATE","LOW")))</f>
        <v>LOW</v>
      </c>
    </row>
    <row r="29" ht="15" customHeight="1" spans="1:25">
      <c r="A29" s="24">
        <v>3</v>
      </c>
      <c r="B29" s="25" t="str">
        <f>INDEX(Participants!$B$6:$B$20,A29)</f>
        <v>Vishav Gupta</v>
      </c>
      <c r="C29" s="24">
        <v>8</v>
      </c>
      <c r="D29" s="26">
        <v>0.384641203703704</v>
      </c>
      <c r="E29" s="27" t="s">
        <v>77</v>
      </c>
      <c r="F29" s="27">
        <v>3128</v>
      </c>
      <c r="G29" s="27">
        <v>1008</v>
      </c>
      <c r="H29" s="27">
        <v>239</v>
      </c>
      <c r="I29" s="28">
        <v>-0.1</v>
      </c>
      <c r="J29" s="28">
        <v>0.05</v>
      </c>
      <c r="K29" s="28">
        <v>1.08</v>
      </c>
      <c r="L29" s="29">
        <v>10.4</v>
      </c>
      <c r="M29" s="29">
        <v>3.5</v>
      </c>
      <c r="N29" s="29">
        <v>4.6</v>
      </c>
      <c r="O29" s="29">
        <v>-6.8</v>
      </c>
      <c r="P29" s="29">
        <v>1.8</v>
      </c>
      <c r="Q29" s="27">
        <v>210</v>
      </c>
      <c r="R29" s="27">
        <v>7</v>
      </c>
      <c r="S29" s="27" t="s">
        <v>74</v>
      </c>
      <c r="T29" s="30">
        <f t="shared" si="0"/>
        <v>1.08577161502776</v>
      </c>
      <c r="U29" s="31">
        <f t="shared" si="1"/>
        <v>11.8983192090312</v>
      </c>
      <c r="V29" s="31">
        <f t="shared" si="2"/>
        <v>7.03420215802759</v>
      </c>
      <c r="W29" s="30">
        <f t="shared" si="5"/>
        <v>0.0856716200272647</v>
      </c>
      <c r="X29" s="32">
        <f>IF(OR(T29="",U29="",V29=""),"",MIN(100,IF(T29&gt;=Reference!$B$9,Reference!$C$9,IF(T29&gt;=Reference!$B$8,Reference!$C$8,IF(T29&gt;=Reference!$B$7,Reference!$C$7,0)))+IF(U29&gt;=Reference!$B$12,Reference!$C$12,IF(U29&gt;=Reference!$B$11,Reference!$C$11,IF(U29&gt;=Reference!$B$10,Reference!$C$10,0)))+IF(W29&gt;=Reference!$B$13,Reference!$C$13,0)+IF(V29&gt;=Reference!$B$15,Reference!$C$15,IF(V29&gt;=Reference!$B$14,Reference!$C$14,0))))</f>
        <v>0</v>
      </c>
      <c r="Y29" s="32" t="str">
        <f>IF(X29="","",IF(X29&gt;=Reference!$B$6,"HIGH",IF(X29&gt;Reference!$B$5,"MODERATE","LOW")))</f>
        <v>LOW</v>
      </c>
    </row>
    <row r="30" ht="15" customHeight="1" spans="1:25">
      <c r="A30" s="20">
        <v>4</v>
      </c>
      <c r="B30" s="21" t="str">
        <f>INDEX(Participants!$B$6:$B$20,A30)</f>
        <v>Vedant Singh</v>
      </c>
      <c r="C30" s="20">
        <v>1</v>
      </c>
      <c r="D30" s="22">
        <v>0.409710648148148</v>
      </c>
      <c r="E30" s="8" t="s">
        <v>80</v>
      </c>
      <c r="F30" s="8">
        <v>994</v>
      </c>
      <c r="G30" s="8">
        <v>820</v>
      </c>
      <c r="H30" s="8">
        <v>1557</v>
      </c>
      <c r="I30" s="10">
        <v>0</v>
      </c>
      <c r="J30" s="10">
        <v>0.02</v>
      </c>
      <c r="K30" s="10">
        <v>0.98</v>
      </c>
      <c r="L30" s="23">
        <v>1</v>
      </c>
      <c r="M30" s="23">
        <v>0.3</v>
      </c>
      <c r="N30" s="23">
        <v>0.4</v>
      </c>
      <c r="O30" s="23">
        <v>0.8</v>
      </c>
      <c r="P30" s="23">
        <v>0.4</v>
      </c>
      <c r="Q30" s="8">
        <v>302</v>
      </c>
      <c r="R30" s="8">
        <v>3</v>
      </c>
      <c r="S30" s="8" t="s">
        <v>81</v>
      </c>
      <c r="T30" s="16">
        <f t="shared" si="0"/>
        <v>0.980204060387428</v>
      </c>
      <c r="U30" s="17">
        <f t="shared" si="1"/>
        <v>1.11803398874989</v>
      </c>
      <c r="V30" s="17">
        <f t="shared" si="2"/>
        <v>0.894427190999916</v>
      </c>
      <c r="W30" s="16">
        <f>IF(T30="","",0)</f>
        <v>0</v>
      </c>
      <c r="X30" s="12">
        <f>IF(OR(T30="",U30="",V30=""),"",MIN(100,IF(T30&gt;=Reference!$B$9,Reference!$C$9,IF(T30&gt;=Reference!$B$8,Reference!$C$8,IF(T30&gt;=Reference!$B$7,Reference!$C$7,0)))+IF(U30&gt;=Reference!$B$12,Reference!$C$12,IF(U30&gt;=Reference!$B$11,Reference!$C$11,IF(U30&gt;=Reference!$B$10,Reference!$C$10,0)))+IF(W30&gt;=Reference!$B$13,Reference!$C$13,0)+IF(V30&gt;=Reference!$B$15,Reference!$C$15,IF(V30&gt;=Reference!$B$14,Reference!$C$14,0))))</f>
        <v>0</v>
      </c>
      <c r="Y30" s="12" t="str">
        <f>IF(X30="","",IF(X30&gt;=Reference!$B$6,"HIGH",IF(X30&gt;Reference!$B$5,"MODERATE","LOW")))</f>
        <v>LOW</v>
      </c>
    </row>
    <row r="31" ht="15" customHeight="1" spans="1:25">
      <c r="A31" s="20">
        <v>4</v>
      </c>
      <c r="B31" s="21" t="str">
        <f>INDEX(Participants!$B$6:$B$20,A31)</f>
        <v>Vedant Singh</v>
      </c>
      <c r="C31" s="20">
        <v>2</v>
      </c>
      <c r="D31" s="22">
        <v>0.409837962962963</v>
      </c>
      <c r="E31" s="8" t="s">
        <v>80</v>
      </c>
      <c r="F31" s="8">
        <v>1148</v>
      </c>
      <c r="G31" s="8">
        <v>969</v>
      </c>
      <c r="H31" s="8">
        <v>1692</v>
      </c>
      <c r="I31" s="10">
        <v>0.01</v>
      </c>
      <c r="J31" s="10">
        <v>0.02</v>
      </c>
      <c r="K31" s="10">
        <v>0.98</v>
      </c>
      <c r="L31" s="23">
        <v>0.8</v>
      </c>
      <c r="M31" s="23">
        <v>1</v>
      </c>
      <c r="N31" s="23">
        <v>0.5</v>
      </c>
      <c r="O31" s="23">
        <v>1.1</v>
      </c>
      <c r="P31" s="23">
        <v>0.7</v>
      </c>
      <c r="Q31" s="8">
        <v>349</v>
      </c>
      <c r="R31" s="8">
        <v>3</v>
      </c>
      <c r="S31" s="8" t="s">
        <v>81</v>
      </c>
      <c r="T31" s="16">
        <f t="shared" si="0"/>
        <v>0.980255068846879</v>
      </c>
      <c r="U31" s="17">
        <f t="shared" si="1"/>
        <v>1.37477270848675</v>
      </c>
      <c r="V31" s="17">
        <f t="shared" si="2"/>
        <v>1.30384048104053</v>
      </c>
      <c r="W31" s="16">
        <f t="shared" ref="W31:W37" si="6">IF(T31="","",IF(T30="",0,ABS(T31-T30)))</f>
        <v>5.10084594516069e-5</v>
      </c>
      <c r="X31" s="12">
        <f>IF(OR(T31="",U31="",V31=""),"",MIN(100,IF(T31&gt;=Reference!$B$9,Reference!$C$9,IF(T31&gt;=Reference!$B$8,Reference!$C$8,IF(T31&gt;=Reference!$B$7,Reference!$C$7,0)))+IF(U31&gt;=Reference!$B$12,Reference!$C$12,IF(U31&gt;=Reference!$B$11,Reference!$C$11,IF(U31&gt;=Reference!$B$10,Reference!$C$10,0)))+IF(W31&gt;=Reference!$B$13,Reference!$C$13,0)+IF(V31&gt;=Reference!$B$15,Reference!$C$15,IF(V31&gt;=Reference!$B$14,Reference!$C$14,0))))</f>
        <v>0</v>
      </c>
      <c r="Y31" s="12" t="str">
        <f>IF(X31="","",IF(X31&gt;=Reference!$B$6,"HIGH",IF(X31&gt;Reference!$B$5,"MODERATE","LOW")))</f>
        <v>LOW</v>
      </c>
    </row>
    <row r="32" ht="15" customHeight="1" spans="1:25">
      <c r="A32" s="20">
        <v>4</v>
      </c>
      <c r="B32" s="21" t="str">
        <f>INDEX(Participants!$B$6:$B$20,A32)</f>
        <v>Vedant Singh</v>
      </c>
      <c r="C32" s="20">
        <v>3</v>
      </c>
      <c r="D32" s="22">
        <v>0.409953703703704</v>
      </c>
      <c r="E32" s="8" t="s">
        <v>80</v>
      </c>
      <c r="F32" s="8">
        <v>1161</v>
      </c>
      <c r="G32" s="8">
        <v>953</v>
      </c>
      <c r="H32" s="8">
        <v>1804</v>
      </c>
      <c r="I32" s="10">
        <v>0.01</v>
      </c>
      <c r="J32" s="10">
        <v>0.02</v>
      </c>
      <c r="K32" s="10">
        <v>1</v>
      </c>
      <c r="L32" s="23">
        <v>0.3</v>
      </c>
      <c r="M32" s="23">
        <v>0.5</v>
      </c>
      <c r="N32" s="23">
        <v>0.4</v>
      </c>
      <c r="O32" s="23">
        <v>0.8</v>
      </c>
      <c r="P32" s="23">
        <v>0.3</v>
      </c>
      <c r="Q32" s="8">
        <v>299</v>
      </c>
      <c r="R32" s="8">
        <v>3</v>
      </c>
      <c r="S32" s="8" t="s">
        <v>81</v>
      </c>
      <c r="T32" s="16">
        <f t="shared" si="0"/>
        <v>1.00024996875781</v>
      </c>
      <c r="U32" s="17">
        <f t="shared" si="1"/>
        <v>0.707106781186548</v>
      </c>
      <c r="V32" s="17">
        <f t="shared" si="2"/>
        <v>0.854400374531753</v>
      </c>
      <c r="W32" s="16">
        <f t="shared" si="6"/>
        <v>0.019994899910931</v>
      </c>
      <c r="X32" s="12">
        <f>IF(OR(T32="",U32="",V32=""),"",MIN(100,IF(T32&gt;=Reference!$B$9,Reference!$C$9,IF(T32&gt;=Reference!$B$8,Reference!$C$8,IF(T32&gt;=Reference!$B$7,Reference!$C$7,0)))+IF(U32&gt;=Reference!$B$12,Reference!$C$12,IF(U32&gt;=Reference!$B$11,Reference!$C$11,IF(U32&gt;=Reference!$B$10,Reference!$C$10,0)))+IF(W32&gt;=Reference!$B$13,Reference!$C$13,0)+IF(V32&gt;=Reference!$B$15,Reference!$C$15,IF(V32&gt;=Reference!$B$14,Reference!$C$14,0))))</f>
        <v>0</v>
      </c>
      <c r="Y32" s="12" t="str">
        <f>IF(X32="","",IF(X32&gt;=Reference!$B$6,"HIGH",IF(X32&gt;Reference!$B$5,"MODERATE","LOW")))</f>
        <v>LOW</v>
      </c>
    </row>
    <row r="33" ht="15" customHeight="1" spans="1:25">
      <c r="A33" s="20">
        <v>4</v>
      </c>
      <c r="B33" s="21" t="str">
        <f>INDEX(Participants!$B$6:$B$20,A33)</f>
        <v>Vedant Singh</v>
      </c>
      <c r="C33" s="20">
        <v>4</v>
      </c>
      <c r="D33" s="22">
        <v>0.410127314814815</v>
      </c>
      <c r="E33" s="8" t="s">
        <v>82</v>
      </c>
      <c r="F33" s="8">
        <v>1316</v>
      </c>
      <c r="G33" s="8">
        <v>937</v>
      </c>
      <c r="H33" s="8">
        <v>1612</v>
      </c>
      <c r="I33" s="10">
        <v>0.04</v>
      </c>
      <c r="J33" s="10">
        <v>0.04</v>
      </c>
      <c r="K33" s="10">
        <v>1</v>
      </c>
      <c r="L33" s="23">
        <v>2.3</v>
      </c>
      <c r="M33" s="23">
        <v>1</v>
      </c>
      <c r="N33" s="23">
        <v>1.2</v>
      </c>
      <c r="O33" s="23">
        <v>1.8</v>
      </c>
      <c r="P33" s="23">
        <v>0.9</v>
      </c>
      <c r="Q33" s="8">
        <v>307</v>
      </c>
      <c r="R33" s="8">
        <v>3</v>
      </c>
      <c r="S33" s="8" t="s">
        <v>81</v>
      </c>
      <c r="T33" s="16">
        <f t="shared" si="0"/>
        <v>1.00159872204391</v>
      </c>
      <c r="U33" s="17">
        <f t="shared" si="1"/>
        <v>2.78028775489157</v>
      </c>
      <c r="V33" s="17">
        <f t="shared" si="2"/>
        <v>2.01246117974981</v>
      </c>
      <c r="W33" s="16">
        <f t="shared" si="6"/>
        <v>0.00134875328610295</v>
      </c>
      <c r="X33" s="12">
        <f>IF(OR(T33="",U33="",V33=""),"",MIN(100,IF(T33&gt;=Reference!$B$9,Reference!$C$9,IF(T33&gt;=Reference!$B$8,Reference!$C$8,IF(T33&gt;=Reference!$B$7,Reference!$C$7,0)))+IF(U33&gt;=Reference!$B$12,Reference!$C$12,IF(U33&gt;=Reference!$B$11,Reference!$C$11,IF(U33&gt;=Reference!$B$10,Reference!$C$10,0)))+IF(W33&gt;=Reference!$B$13,Reference!$C$13,0)+IF(V33&gt;=Reference!$B$15,Reference!$C$15,IF(V33&gt;=Reference!$B$14,Reference!$C$14,0))))</f>
        <v>0</v>
      </c>
      <c r="Y33" s="12" t="str">
        <f>IF(X33="","",IF(X33&gt;=Reference!$B$6,"HIGH",IF(X33&gt;Reference!$B$5,"MODERATE","LOW")))</f>
        <v>LOW</v>
      </c>
    </row>
    <row r="34" ht="15" customHeight="1" spans="1:25">
      <c r="A34" s="20">
        <v>4</v>
      </c>
      <c r="B34" s="21" t="str">
        <f>INDEX(Participants!$B$6:$B$20,A34)</f>
        <v>Vedant Singh</v>
      </c>
      <c r="C34" s="20">
        <v>5</v>
      </c>
      <c r="D34" s="22">
        <v>0.410243055555556</v>
      </c>
      <c r="E34" s="8" t="s">
        <v>80</v>
      </c>
      <c r="F34" s="8">
        <v>1270</v>
      </c>
      <c r="G34" s="8">
        <v>842</v>
      </c>
      <c r="H34" s="8">
        <v>1740</v>
      </c>
      <c r="I34" s="10">
        <v>0.01</v>
      </c>
      <c r="J34" s="10">
        <v>0.04</v>
      </c>
      <c r="K34" s="10">
        <v>0.98</v>
      </c>
      <c r="L34" s="23">
        <v>0.2</v>
      </c>
      <c r="M34" s="23">
        <v>0.7</v>
      </c>
      <c r="N34" s="23">
        <v>0.1</v>
      </c>
      <c r="O34" s="23">
        <v>1</v>
      </c>
      <c r="P34" s="23">
        <v>0.4</v>
      </c>
      <c r="Q34" s="8">
        <v>288</v>
      </c>
      <c r="R34" s="8">
        <v>3</v>
      </c>
      <c r="S34" s="8" t="s">
        <v>81</v>
      </c>
      <c r="T34" s="16">
        <f t="shared" si="0"/>
        <v>0.980866963456309</v>
      </c>
      <c r="U34" s="17">
        <f t="shared" si="1"/>
        <v>0.734846922834953</v>
      </c>
      <c r="V34" s="17">
        <f t="shared" si="2"/>
        <v>1.0770329614269</v>
      </c>
      <c r="W34" s="16">
        <f t="shared" si="6"/>
        <v>0.0207317585876042</v>
      </c>
      <c r="X34" s="12">
        <f>IF(OR(T34="",U34="",V34=""),"",MIN(100,IF(T34&gt;=Reference!$B$9,Reference!$C$9,IF(T34&gt;=Reference!$B$8,Reference!$C$8,IF(T34&gt;=Reference!$B$7,Reference!$C$7,0)))+IF(U34&gt;=Reference!$B$12,Reference!$C$12,IF(U34&gt;=Reference!$B$11,Reference!$C$11,IF(U34&gt;=Reference!$B$10,Reference!$C$10,0)))+IF(W34&gt;=Reference!$B$13,Reference!$C$13,0)+IF(V34&gt;=Reference!$B$15,Reference!$C$15,IF(V34&gt;=Reference!$B$14,Reference!$C$14,0))))</f>
        <v>0</v>
      </c>
      <c r="Y34" s="12" t="str">
        <f>IF(X34="","",IF(X34&gt;=Reference!$B$6,"HIGH",IF(X34&gt;Reference!$B$5,"MODERATE","LOW")))</f>
        <v>LOW</v>
      </c>
    </row>
    <row r="35" ht="15" customHeight="1" spans="1:25">
      <c r="A35" s="20">
        <v>4</v>
      </c>
      <c r="B35" s="21" t="str">
        <f>INDEX(Participants!$B$6:$B$20,A35)</f>
        <v>Vedant Singh</v>
      </c>
      <c r="C35" s="20">
        <v>6</v>
      </c>
      <c r="D35" s="22">
        <v>0.410335648148148</v>
      </c>
      <c r="E35" s="8" t="s">
        <v>82</v>
      </c>
      <c r="F35" s="8">
        <v>1423</v>
      </c>
      <c r="G35" s="8">
        <v>1098</v>
      </c>
      <c r="H35" s="8">
        <v>1618</v>
      </c>
      <c r="I35" s="10">
        <v>0.05</v>
      </c>
      <c r="J35" s="10">
        <v>0.03</v>
      </c>
      <c r="K35" s="10">
        <v>0.99</v>
      </c>
      <c r="L35" s="23">
        <v>2.2</v>
      </c>
      <c r="M35" s="23">
        <v>1.9</v>
      </c>
      <c r="N35" s="23">
        <v>1.2</v>
      </c>
      <c r="O35" s="23">
        <v>1.9</v>
      </c>
      <c r="P35" s="23">
        <v>1</v>
      </c>
      <c r="Q35" s="8">
        <v>316</v>
      </c>
      <c r="R35" s="8">
        <v>3</v>
      </c>
      <c r="S35" s="8" t="s">
        <v>81</v>
      </c>
      <c r="T35" s="16">
        <f t="shared" si="0"/>
        <v>0.991715685063012</v>
      </c>
      <c r="U35" s="17">
        <f t="shared" si="1"/>
        <v>3.14483703870328</v>
      </c>
      <c r="V35" s="17">
        <f t="shared" si="2"/>
        <v>2.14709105535839</v>
      </c>
      <c r="W35" s="16">
        <f t="shared" si="6"/>
        <v>0.0108487216067035</v>
      </c>
      <c r="X35" s="12">
        <f>IF(OR(T35="",U35="",V35=""),"",MIN(100,IF(T35&gt;=Reference!$B$9,Reference!$C$9,IF(T35&gt;=Reference!$B$8,Reference!$C$8,IF(T35&gt;=Reference!$B$7,Reference!$C$7,0)))+IF(U35&gt;=Reference!$B$12,Reference!$C$12,IF(U35&gt;=Reference!$B$11,Reference!$C$11,IF(U35&gt;=Reference!$B$10,Reference!$C$10,0)))+IF(W35&gt;=Reference!$B$13,Reference!$C$13,0)+IF(V35&gt;=Reference!$B$15,Reference!$C$15,IF(V35&gt;=Reference!$B$14,Reference!$C$14,0))))</f>
        <v>0</v>
      </c>
      <c r="Y35" s="12" t="str">
        <f>IF(X35="","",IF(X35&gt;=Reference!$B$6,"HIGH",IF(X35&gt;Reference!$B$5,"MODERATE","LOW")))</f>
        <v>LOW</v>
      </c>
    </row>
    <row r="36" ht="15" customHeight="1" spans="1:25">
      <c r="A36" s="20">
        <v>4</v>
      </c>
      <c r="B36" s="21" t="str">
        <f>INDEX(Participants!$B$6:$B$20,A36)</f>
        <v>Vedant Singh</v>
      </c>
      <c r="C36" s="20">
        <v>7</v>
      </c>
      <c r="D36" s="22">
        <v>0.410497685185185</v>
      </c>
      <c r="E36" s="8" t="s">
        <v>80</v>
      </c>
      <c r="F36" s="8">
        <v>1143</v>
      </c>
      <c r="G36" s="8">
        <v>799</v>
      </c>
      <c r="H36" s="8">
        <v>1614</v>
      </c>
      <c r="I36" s="10">
        <v>0.02</v>
      </c>
      <c r="J36" s="10">
        <v>0</v>
      </c>
      <c r="K36" s="10">
        <v>1</v>
      </c>
      <c r="L36" s="23">
        <v>0.2</v>
      </c>
      <c r="M36" s="23">
        <v>0.1</v>
      </c>
      <c r="N36" s="23">
        <v>1</v>
      </c>
      <c r="O36" s="23">
        <v>0.8</v>
      </c>
      <c r="P36" s="23">
        <v>0.5</v>
      </c>
      <c r="Q36" s="8">
        <v>324</v>
      </c>
      <c r="R36" s="8">
        <v>3</v>
      </c>
      <c r="S36" s="8" t="s">
        <v>81</v>
      </c>
      <c r="T36" s="16">
        <f t="shared" si="0"/>
        <v>1.000199980004</v>
      </c>
      <c r="U36" s="17">
        <f t="shared" si="1"/>
        <v>1.02469507659596</v>
      </c>
      <c r="V36" s="17">
        <f t="shared" si="2"/>
        <v>0.94339811320566</v>
      </c>
      <c r="W36" s="16">
        <f t="shared" si="6"/>
        <v>0.00848429494098657</v>
      </c>
      <c r="X36" s="12">
        <f>IF(OR(T36="",U36="",V36=""),"",MIN(100,IF(T36&gt;=Reference!$B$9,Reference!$C$9,IF(T36&gt;=Reference!$B$8,Reference!$C$8,IF(T36&gt;=Reference!$B$7,Reference!$C$7,0)))+IF(U36&gt;=Reference!$B$12,Reference!$C$12,IF(U36&gt;=Reference!$B$11,Reference!$C$11,IF(U36&gt;=Reference!$B$10,Reference!$C$10,0)))+IF(W36&gt;=Reference!$B$13,Reference!$C$13,0)+IF(V36&gt;=Reference!$B$15,Reference!$C$15,IF(V36&gt;=Reference!$B$14,Reference!$C$14,0))))</f>
        <v>0</v>
      </c>
      <c r="Y36" s="12" t="str">
        <f>IF(X36="","",IF(X36&gt;=Reference!$B$6,"HIGH",IF(X36&gt;Reference!$B$5,"MODERATE","LOW")))</f>
        <v>LOW</v>
      </c>
    </row>
    <row r="37" ht="15" customHeight="1" spans="1:25">
      <c r="A37" s="24">
        <v>4</v>
      </c>
      <c r="B37" s="25" t="str">
        <f>INDEX(Participants!$B$6:$B$20,A37)</f>
        <v>Vedant Singh</v>
      </c>
      <c r="C37" s="24">
        <v>8</v>
      </c>
      <c r="D37" s="26">
        <v>0.410625</v>
      </c>
      <c r="E37" s="27" t="s">
        <v>80</v>
      </c>
      <c r="F37" s="27">
        <v>1132</v>
      </c>
      <c r="G37" s="27">
        <v>884</v>
      </c>
      <c r="H37" s="27">
        <v>1712</v>
      </c>
      <c r="I37" s="28">
        <v>0</v>
      </c>
      <c r="J37" s="28">
        <v>0.03</v>
      </c>
      <c r="K37" s="28">
        <v>1.02</v>
      </c>
      <c r="L37" s="29">
        <v>1.4</v>
      </c>
      <c r="M37" s="29">
        <v>0.3</v>
      </c>
      <c r="N37" s="29">
        <v>0.5</v>
      </c>
      <c r="O37" s="29">
        <v>1.1</v>
      </c>
      <c r="P37" s="29">
        <v>0.4</v>
      </c>
      <c r="Q37" s="27">
        <v>353</v>
      </c>
      <c r="R37" s="27">
        <v>3</v>
      </c>
      <c r="S37" s="27" t="s">
        <v>81</v>
      </c>
      <c r="T37" s="30">
        <f t="shared" si="0"/>
        <v>1.0204410811017</v>
      </c>
      <c r="U37" s="31">
        <f t="shared" si="1"/>
        <v>1.51657508881031</v>
      </c>
      <c r="V37" s="31">
        <f t="shared" si="2"/>
        <v>1.17046999107196</v>
      </c>
      <c r="W37" s="30">
        <f t="shared" si="6"/>
        <v>0.0202411010976979</v>
      </c>
      <c r="X37" s="32">
        <f>IF(OR(T37="",U37="",V37=""),"",MIN(100,IF(T37&gt;=Reference!$B$9,Reference!$C$9,IF(T37&gt;=Reference!$B$8,Reference!$C$8,IF(T37&gt;=Reference!$B$7,Reference!$C$7,0)))+IF(U37&gt;=Reference!$B$12,Reference!$C$12,IF(U37&gt;=Reference!$B$11,Reference!$C$11,IF(U37&gt;=Reference!$B$10,Reference!$C$10,0)))+IF(W37&gt;=Reference!$B$13,Reference!$C$13,0)+IF(V37&gt;=Reference!$B$15,Reference!$C$15,IF(V37&gt;=Reference!$B$14,Reference!$C$14,0))))</f>
        <v>0</v>
      </c>
      <c r="Y37" s="32" t="str">
        <f>IF(X37="","",IF(X37&gt;=Reference!$B$6,"HIGH",IF(X37&gt;Reference!$B$5,"MODERATE","LOW")))</f>
        <v>LOW</v>
      </c>
    </row>
    <row r="38" ht="15" customHeight="1" spans="1:25">
      <c r="A38" s="20">
        <v>5</v>
      </c>
      <c r="B38" s="21" t="str">
        <f>INDEX(Participants!$B$6:$B$20,A38)</f>
        <v>Daksh Jain</v>
      </c>
      <c r="C38" s="20">
        <v>1</v>
      </c>
      <c r="D38" s="22">
        <v>0.401296296296296</v>
      </c>
      <c r="E38" s="8" t="s">
        <v>83</v>
      </c>
      <c r="F38" s="8">
        <v>634</v>
      </c>
      <c r="G38" s="8">
        <v>769</v>
      </c>
      <c r="H38" s="8">
        <v>3220</v>
      </c>
      <c r="I38" s="10">
        <v>0.08</v>
      </c>
      <c r="J38" s="10">
        <v>0.04</v>
      </c>
      <c r="K38" s="10">
        <v>1.03</v>
      </c>
      <c r="L38" s="23">
        <v>6</v>
      </c>
      <c r="M38" s="23">
        <v>3.3</v>
      </c>
      <c r="N38" s="23">
        <v>4</v>
      </c>
      <c r="O38" s="23">
        <v>2.8</v>
      </c>
      <c r="P38" s="23">
        <v>1.1</v>
      </c>
      <c r="Q38" s="8">
        <v>116</v>
      </c>
      <c r="R38" s="8">
        <v>6</v>
      </c>
      <c r="S38" s="8" t="s">
        <v>74</v>
      </c>
      <c r="T38" s="16">
        <f t="shared" si="0"/>
        <v>1.03387620148643</v>
      </c>
      <c r="U38" s="17">
        <f t="shared" si="1"/>
        <v>7.93032155716274</v>
      </c>
      <c r="V38" s="17">
        <f t="shared" si="2"/>
        <v>3.00832179129826</v>
      </c>
      <c r="W38" s="16">
        <f>IF(T38="","",0)</f>
        <v>0</v>
      </c>
      <c r="X38" s="12">
        <f>IF(OR(T38="",U38="",V38=""),"",MIN(100,IF(T38&gt;=Reference!$B$9,Reference!$C$9,IF(T38&gt;=Reference!$B$8,Reference!$C$8,IF(T38&gt;=Reference!$B$7,Reference!$C$7,0)))+IF(U38&gt;=Reference!$B$12,Reference!$C$12,IF(U38&gt;=Reference!$B$11,Reference!$C$11,IF(U38&gt;=Reference!$B$10,Reference!$C$10,0)))+IF(W38&gt;=Reference!$B$13,Reference!$C$13,0)+IF(V38&gt;=Reference!$B$15,Reference!$C$15,IF(V38&gt;=Reference!$B$14,Reference!$C$14,0))))</f>
        <v>0</v>
      </c>
      <c r="Y38" s="12" t="str">
        <f>IF(X38="","",IF(X38&gt;=Reference!$B$6,"HIGH",IF(X38&gt;Reference!$B$5,"MODERATE","LOW")))</f>
        <v>LOW</v>
      </c>
    </row>
    <row r="39" ht="15" customHeight="1" spans="1:25">
      <c r="A39" s="20">
        <v>5</v>
      </c>
      <c r="B39" s="21" t="str">
        <f>INDEX(Participants!$B$6:$B$20,A39)</f>
        <v>Daksh Jain</v>
      </c>
      <c r="C39" s="20">
        <v>2</v>
      </c>
      <c r="D39" s="22">
        <v>0.401365740740741</v>
      </c>
      <c r="E39" s="8" t="s">
        <v>83</v>
      </c>
      <c r="F39" s="8">
        <v>1487</v>
      </c>
      <c r="G39" s="8">
        <v>1850</v>
      </c>
      <c r="H39" s="8">
        <v>2423</v>
      </c>
      <c r="I39" s="10">
        <v>0.12</v>
      </c>
      <c r="J39" s="10">
        <v>0.08</v>
      </c>
      <c r="K39" s="10">
        <v>1.06</v>
      </c>
      <c r="L39" s="23">
        <v>9.1</v>
      </c>
      <c r="M39" s="23">
        <v>4.9</v>
      </c>
      <c r="N39" s="23">
        <v>6</v>
      </c>
      <c r="O39" s="23">
        <v>3.4</v>
      </c>
      <c r="P39" s="23">
        <v>1.5</v>
      </c>
      <c r="Q39" s="8">
        <v>102</v>
      </c>
      <c r="R39" s="8">
        <v>5</v>
      </c>
      <c r="S39" s="8" t="s">
        <v>74</v>
      </c>
      <c r="T39" s="16">
        <f t="shared" si="0"/>
        <v>1.06976632962531</v>
      </c>
      <c r="U39" s="17">
        <f t="shared" si="1"/>
        <v>11.9507321951419</v>
      </c>
      <c r="V39" s="17">
        <f t="shared" si="2"/>
        <v>3.71618083521241</v>
      </c>
      <c r="W39" s="16">
        <f t="shared" ref="W39:W45" si="7">IF(T39="","",IF(T38="",0,ABS(T39-T38)))</f>
        <v>0.035890128138881</v>
      </c>
      <c r="X39" s="12">
        <f>IF(OR(T39="",U39="",V39=""),"",MIN(100,IF(T39&gt;=Reference!$B$9,Reference!$C$9,IF(T39&gt;=Reference!$B$8,Reference!$C$8,IF(T39&gt;=Reference!$B$7,Reference!$C$7,0)))+IF(U39&gt;=Reference!$B$12,Reference!$C$12,IF(U39&gt;=Reference!$B$11,Reference!$C$11,IF(U39&gt;=Reference!$B$10,Reference!$C$10,0)))+IF(W39&gt;=Reference!$B$13,Reference!$C$13,0)+IF(V39&gt;=Reference!$B$15,Reference!$C$15,IF(V39&gt;=Reference!$B$14,Reference!$C$14,0))))</f>
        <v>0</v>
      </c>
      <c r="Y39" s="12" t="str">
        <f>IF(X39="","",IF(X39&gt;=Reference!$B$6,"HIGH",IF(X39&gt;Reference!$B$5,"MODERATE","LOW")))</f>
        <v>LOW</v>
      </c>
    </row>
    <row r="40" ht="15" customHeight="1" spans="1:25">
      <c r="A40" s="20">
        <v>5</v>
      </c>
      <c r="B40" s="21" t="str">
        <f>INDEX(Participants!$B$6:$B$20,A40)</f>
        <v>Daksh Jain</v>
      </c>
      <c r="C40" s="20">
        <v>3</v>
      </c>
      <c r="D40" s="22">
        <v>0.401435185185185</v>
      </c>
      <c r="E40" s="8" t="s">
        <v>84</v>
      </c>
      <c r="F40" s="8">
        <v>4084</v>
      </c>
      <c r="G40" s="8">
        <v>1221</v>
      </c>
      <c r="H40" s="8">
        <v>119</v>
      </c>
      <c r="I40" s="10">
        <v>0.88</v>
      </c>
      <c r="J40" s="10">
        <v>0.43</v>
      </c>
      <c r="K40" s="10">
        <v>1.62</v>
      </c>
      <c r="L40" s="23">
        <v>45.9</v>
      </c>
      <c r="M40" s="23">
        <v>27.3</v>
      </c>
      <c r="N40" s="23">
        <v>38.9</v>
      </c>
      <c r="O40" s="23">
        <v>13.8</v>
      </c>
      <c r="P40" s="23">
        <v>9.2</v>
      </c>
      <c r="Q40" s="8">
        <v>63</v>
      </c>
      <c r="R40" s="8">
        <v>5</v>
      </c>
      <c r="S40" s="8" t="s">
        <v>74</v>
      </c>
      <c r="T40" s="16">
        <f t="shared" si="0"/>
        <v>1.89306629572237</v>
      </c>
      <c r="U40" s="17">
        <f t="shared" si="1"/>
        <v>66.070492657464</v>
      </c>
      <c r="V40" s="17">
        <f t="shared" si="2"/>
        <v>16.5855358671344</v>
      </c>
      <c r="W40" s="16">
        <f t="shared" si="7"/>
        <v>0.823299966097059</v>
      </c>
      <c r="X40" s="12">
        <f>IF(OR(T40="",U40="",V40=""),"",MIN(100,IF(T40&gt;=Reference!$B$9,Reference!$C$9,IF(T40&gt;=Reference!$B$8,Reference!$C$8,IF(T40&gt;=Reference!$B$7,Reference!$C$7,0)))+IF(U40&gt;=Reference!$B$12,Reference!$C$12,IF(U40&gt;=Reference!$B$11,Reference!$C$11,IF(U40&gt;=Reference!$B$10,Reference!$C$10,0)))+IF(W40&gt;=Reference!$B$13,Reference!$C$13,0)+IF(V40&gt;=Reference!$B$15,Reference!$C$15,IF(V40&gt;=Reference!$B$14,Reference!$C$14,0))))</f>
        <v>70</v>
      </c>
      <c r="Y40" s="12" t="str">
        <f>IF(X40="","",IF(X40&gt;=Reference!$B$6,"HIGH",IF(X40&gt;Reference!$B$5,"MODERATE","LOW")))</f>
        <v>HIGH</v>
      </c>
    </row>
    <row r="41" ht="15" customHeight="1" spans="1:25">
      <c r="A41" s="20">
        <v>5</v>
      </c>
      <c r="B41" s="21" t="str">
        <f>INDEX(Participants!$B$6:$B$20,A41)</f>
        <v>Daksh Jain</v>
      </c>
      <c r="C41" s="20">
        <v>4</v>
      </c>
      <c r="D41" s="22">
        <v>0.401516203703704</v>
      </c>
      <c r="E41" s="8" t="s">
        <v>85</v>
      </c>
      <c r="F41" s="8">
        <v>3684</v>
      </c>
      <c r="G41" s="8">
        <v>2717</v>
      </c>
      <c r="H41" s="8">
        <v>374</v>
      </c>
      <c r="I41" s="10">
        <v>1.63</v>
      </c>
      <c r="J41" s="10">
        <v>-0.95</v>
      </c>
      <c r="K41" s="10">
        <v>2.31</v>
      </c>
      <c r="L41" s="23">
        <v>90</v>
      </c>
      <c r="M41" s="23">
        <v>60.6</v>
      </c>
      <c r="N41" s="23">
        <v>72.9</v>
      </c>
      <c r="O41" s="23">
        <v>21</v>
      </c>
      <c r="P41" s="23">
        <v>12</v>
      </c>
      <c r="Q41" s="8">
        <v>39</v>
      </c>
      <c r="R41" s="8">
        <v>5</v>
      </c>
      <c r="S41" s="8" t="s">
        <v>74</v>
      </c>
      <c r="T41" s="16">
        <f t="shared" si="0"/>
        <v>2.98253248096312</v>
      </c>
      <c r="U41" s="17">
        <f t="shared" si="1"/>
        <v>130.716372348685</v>
      </c>
      <c r="V41" s="17">
        <f t="shared" si="2"/>
        <v>24.1867732448956</v>
      </c>
      <c r="W41" s="16">
        <f t="shared" si="7"/>
        <v>1.08946618524075</v>
      </c>
      <c r="X41" s="12">
        <f>IF(OR(T41="",U41="",V41=""),"",MIN(100,IF(T41&gt;=Reference!$B$9,Reference!$C$9,IF(T41&gt;=Reference!$B$8,Reference!$C$8,IF(T41&gt;=Reference!$B$7,Reference!$C$7,0)))+IF(U41&gt;=Reference!$B$12,Reference!$C$12,IF(U41&gt;=Reference!$B$11,Reference!$C$11,IF(U41&gt;=Reference!$B$10,Reference!$C$10,0)))+IF(W41&gt;=Reference!$B$13,Reference!$C$13,0)+IF(V41&gt;=Reference!$B$15,Reference!$C$15,IF(V41&gt;=Reference!$B$14,Reference!$C$14,0))))</f>
        <v>100</v>
      </c>
      <c r="Y41" s="12" t="str">
        <f>IF(X41="","",IF(X41&gt;=Reference!$B$6,"HIGH",IF(X41&gt;Reference!$B$5,"MODERATE","LOW")))</f>
        <v>HIGH</v>
      </c>
    </row>
    <row r="42" ht="15" customHeight="1" spans="1:25">
      <c r="A42" s="20">
        <v>5</v>
      </c>
      <c r="B42" s="21" t="str">
        <f>INDEX(Participants!$B$6:$B$20,A42)</f>
        <v>Daksh Jain</v>
      </c>
      <c r="C42" s="20">
        <v>5</v>
      </c>
      <c r="D42" s="22">
        <v>0.401550925925926</v>
      </c>
      <c r="E42" s="8" t="s">
        <v>86</v>
      </c>
      <c r="F42" s="8">
        <v>2161</v>
      </c>
      <c r="G42" s="8">
        <v>2450</v>
      </c>
      <c r="H42" s="8">
        <v>1902</v>
      </c>
      <c r="I42" s="10">
        <v>0.54</v>
      </c>
      <c r="J42" s="10">
        <v>0.32</v>
      </c>
      <c r="K42" s="10">
        <v>1.4</v>
      </c>
      <c r="L42" s="23">
        <v>30.9</v>
      </c>
      <c r="M42" s="23">
        <v>18.1</v>
      </c>
      <c r="N42" s="23">
        <v>22.2</v>
      </c>
      <c r="O42" s="23">
        <v>8.8</v>
      </c>
      <c r="P42" s="23">
        <v>6.3</v>
      </c>
      <c r="Q42" s="8">
        <v>40</v>
      </c>
      <c r="R42" s="8">
        <v>6</v>
      </c>
      <c r="S42" s="8" t="s">
        <v>74</v>
      </c>
      <c r="T42" s="16">
        <f t="shared" si="0"/>
        <v>1.53427507312085</v>
      </c>
      <c r="U42" s="17">
        <f t="shared" si="1"/>
        <v>42.1338343852064</v>
      </c>
      <c r="V42" s="17">
        <f t="shared" si="2"/>
        <v>10.8226614102078</v>
      </c>
      <c r="W42" s="16">
        <f t="shared" si="7"/>
        <v>1.44825740784226</v>
      </c>
      <c r="X42" s="12">
        <f>IF(OR(T42="",U42="",V42=""),"",MIN(100,IF(T42&gt;=Reference!$B$9,Reference!$C$9,IF(T42&gt;=Reference!$B$8,Reference!$C$8,IF(T42&gt;=Reference!$B$7,Reference!$C$7,0)))+IF(U42&gt;=Reference!$B$12,Reference!$C$12,IF(U42&gt;=Reference!$B$11,Reference!$C$11,IF(U42&gt;=Reference!$B$10,Reference!$C$10,0)))+IF(W42&gt;=Reference!$B$13,Reference!$C$13,0)+IF(V42&gt;=Reference!$B$15,Reference!$C$15,IF(V42&gt;=Reference!$B$14,Reference!$C$14,0))))</f>
        <v>65</v>
      </c>
      <c r="Y42" s="12" t="str">
        <f>IF(X42="","",IF(X42&gt;=Reference!$B$6,"HIGH",IF(X42&gt;Reference!$B$5,"MODERATE","LOW")))</f>
        <v>MODERATE</v>
      </c>
    </row>
    <row r="43" ht="15" customHeight="1" spans="1:25">
      <c r="A43" s="20">
        <v>5</v>
      </c>
      <c r="B43" s="21" t="str">
        <f>INDEX(Participants!$B$6:$B$20,A43)</f>
        <v>Daksh Jain</v>
      </c>
      <c r="C43" s="20">
        <v>6</v>
      </c>
      <c r="D43" s="22">
        <v>0.401597222222222</v>
      </c>
      <c r="E43" s="8" t="s">
        <v>87</v>
      </c>
      <c r="F43" s="8">
        <v>1458</v>
      </c>
      <c r="G43" s="8">
        <v>1583</v>
      </c>
      <c r="H43" s="8">
        <v>2136</v>
      </c>
      <c r="I43" s="10">
        <v>0.14</v>
      </c>
      <c r="J43" s="10">
        <v>0.07</v>
      </c>
      <c r="K43" s="10">
        <v>1.13</v>
      </c>
      <c r="L43" s="23">
        <v>8.1</v>
      </c>
      <c r="M43" s="23">
        <v>4.9</v>
      </c>
      <c r="N43" s="23">
        <v>5</v>
      </c>
      <c r="O43" s="23">
        <v>4.2</v>
      </c>
      <c r="P43" s="23">
        <v>2.6</v>
      </c>
      <c r="Q43" s="8">
        <v>73</v>
      </c>
      <c r="R43" s="8">
        <v>7</v>
      </c>
      <c r="S43" s="8" t="s">
        <v>74</v>
      </c>
      <c r="T43" s="16">
        <f t="shared" si="0"/>
        <v>1.14078920050989</v>
      </c>
      <c r="U43" s="17">
        <f t="shared" si="1"/>
        <v>10.7060730429042</v>
      </c>
      <c r="V43" s="17">
        <f t="shared" si="2"/>
        <v>4.93963561409139</v>
      </c>
      <c r="W43" s="16">
        <f t="shared" si="7"/>
        <v>0.393485872610961</v>
      </c>
      <c r="X43" s="12">
        <f>IF(OR(T43="",U43="",V43=""),"",MIN(100,IF(T43&gt;=Reference!$B$9,Reference!$C$9,IF(T43&gt;=Reference!$B$8,Reference!$C$8,IF(T43&gt;=Reference!$B$7,Reference!$C$7,0)))+IF(U43&gt;=Reference!$B$12,Reference!$C$12,IF(U43&gt;=Reference!$B$11,Reference!$C$11,IF(U43&gt;=Reference!$B$10,Reference!$C$10,0)))+IF(W43&gt;=Reference!$B$13,Reference!$C$13,0)+IF(V43&gt;=Reference!$B$15,Reference!$C$15,IF(V43&gt;=Reference!$B$14,Reference!$C$14,0))))</f>
        <v>0</v>
      </c>
      <c r="Y43" s="12" t="str">
        <f>IF(X43="","",IF(X43&gt;=Reference!$B$6,"HIGH",IF(X43&gt;Reference!$B$5,"MODERATE","LOW")))</f>
        <v>LOW</v>
      </c>
    </row>
    <row r="44" ht="15" customHeight="1" spans="1:25">
      <c r="A44" s="20">
        <v>5</v>
      </c>
      <c r="B44" s="21" t="str">
        <f>INDEX(Participants!$B$6:$B$20,A44)</f>
        <v>Daksh Jain</v>
      </c>
      <c r="C44" s="20">
        <v>7</v>
      </c>
      <c r="D44" s="22">
        <v>0.401724537037037</v>
      </c>
      <c r="E44" s="8" t="s">
        <v>80</v>
      </c>
      <c r="F44" s="8">
        <v>1183</v>
      </c>
      <c r="G44" s="8">
        <v>950</v>
      </c>
      <c r="H44" s="8">
        <v>1741</v>
      </c>
      <c r="I44" s="10">
        <v>0</v>
      </c>
      <c r="J44" s="10">
        <v>0.04</v>
      </c>
      <c r="K44" s="10">
        <v>1.02</v>
      </c>
      <c r="L44" s="23">
        <v>1.3</v>
      </c>
      <c r="M44" s="23">
        <v>0.9</v>
      </c>
      <c r="N44" s="23">
        <v>0.9</v>
      </c>
      <c r="O44" s="23">
        <v>1.2</v>
      </c>
      <c r="P44" s="23">
        <v>0.8</v>
      </c>
      <c r="Q44" s="8">
        <v>158</v>
      </c>
      <c r="R44" s="8">
        <v>5</v>
      </c>
      <c r="S44" s="8" t="s">
        <v>74</v>
      </c>
      <c r="T44" s="16">
        <f t="shared" si="0"/>
        <v>1.02078401241399</v>
      </c>
      <c r="U44" s="17">
        <f t="shared" si="1"/>
        <v>1.81934053986603</v>
      </c>
      <c r="V44" s="17">
        <f t="shared" si="2"/>
        <v>1.4422205101856</v>
      </c>
      <c r="W44" s="16">
        <f t="shared" si="7"/>
        <v>0.120005188095905</v>
      </c>
      <c r="X44" s="12">
        <f>IF(OR(T44="",U44="",V44=""),"",MIN(100,IF(T44&gt;=Reference!$B$9,Reference!$C$9,IF(T44&gt;=Reference!$B$8,Reference!$C$8,IF(T44&gt;=Reference!$B$7,Reference!$C$7,0)))+IF(U44&gt;=Reference!$B$12,Reference!$C$12,IF(U44&gt;=Reference!$B$11,Reference!$C$11,IF(U44&gt;=Reference!$B$10,Reference!$C$10,0)))+IF(W44&gt;=Reference!$B$13,Reference!$C$13,0)+IF(V44&gt;=Reference!$B$15,Reference!$C$15,IF(V44&gt;=Reference!$B$14,Reference!$C$14,0))))</f>
        <v>0</v>
      </c>
      <c r="Y44" s="12" t="str">
        <f>IF(X44="","",IF(X44&gt;=Reference!$B$6,"HIGH",IF(X44&gt;Reference!$B$5,"MODERATE","LOW")))</f>
        <v>LOW</v>
      </c>
    </row>
    <row r="45" ht="15" customHeight="1" spans="1:25">
      <c r="A45" s="24">
        <v>5</v>
      </c>
      <c r="B45" s="25" t="str">
        <f>INDEX(Participants!$B$6:$B$20,A45)</f>
        <v>Daksh Jain</v>
      </c>
      <c r="C45" s="24">
        <v>8</v>
      </c>
      <c r="D45" s="26">
        <v>0.401863425925926</v>
      </c>
      <c r="E45" s="27" t="s">
        <v>80</v>
      </c>
      <c r="F45" s="27">
        <v>1147</v>
      </c>
      <c r="G45" s="27">
        <v>904</v>
      </c>
      <c r="H45" s="27">
        <v>1693</v>
      </c>
      <c r="I45" s="28">
        <v>0.02</v>
      </c>
      <c r="J45" s="28">
        <v>0.03</v>
      </c>
      <c r="K45" s="28">
        <v>0.98</v>
      </c>
      <c r="L45" s="29">
        <v>0.4</v>
      </c>
      <c r="M45" s="29">
        <v>0.9</v>
      </c>
      <c r="N45" s="29">
        <v>0.2</v>
      </c>
      <c r="O45" s="29">
        <v>0.9</v>
      </c>
      <c r="P45" s="29">
        <v>0.5</v>
      </c>
      <c r="Q45" s="27">
        <v>161</v>
      </c>
      <c r="R45" s="27">
        <v>6</v>
      </c>
      <c r="S45" s="27" t="s">
        <v>74</v>
      </c>
      <c r="T45" s="30">
        <f t="shared" si="0"/>
        <v>0.98066304100848</v>
      </c>
      <c r="U45" s="31">
        <f t="shared" si="1"/>
        <v>1.00498756211209</v>
      </c>
      <c r="V45" s="31">
        <f t="shared" si="2"/>
        <v>1.0295630140987</v>
      </c>
      <c r="W45" s="30">
        <f t="shared" si="7"/>
        <v>0.0401209714055074</v>
      </c>
      <c r="X45" s="32">
        <f>IF(OR(T45="",U45="",V45=""),"",MIN(100,IF(T45&gt;=Reference!$B$9,Reference!$C$9,IF(T45&gt;=Reference!$B$8,Reference!$C$8,IF(T45&gt;=Reference!$B$7,Reference!$C$7,0)))+IF(U45&gt;=Reference!$B$12,Reference!$C$12,IF(U45&gt;=Reference!$B$11,Reference!$C$11,IF(U45&gt;=Reference!$B$10,Reference!$C$10,0)))+IF(W45&gt;=Reference!$B$13,Reference!$C$13,0)+IF(V45&gt;=Reference!$B$15,Reference!$C$15,IF(V45&gt;=Reference!$B$14,Reference!$C$14,0))))</f>
        <v>0</v>
      </c>
      <c r="Y45" s="32" t="str">
        <f>IF(X45="","",IF(X45&gt;=Reference!$B$6,"HIGH",IF(X45&gt;Reference!$B$5,"MODERATE","LOW")))</f>
        <v>LOW</v>
      </c>
    </row>
    <row r="46" ht="15" customHeight="1" spans="1:25">
      <c r="A46" s="20">
        <v>6</v>
      </c>
      <c r="B46" s="21" t="str">
        <f>INDEX(Participants!$B$6:$B$20,A46)</f>
        <v>Sudeep</v>
      </c>
      <c r="C46" s="20">
        <v>1</v>
      </c>
      <c r="D46" s="22">
        <v>0.380092592592593</v>
      </c>
      <c r="E46" s="8" t="s">
        <v>73</v>
      </c>
      <c r="F46" s="8">
        <v>343</v>
      </c>
      <c r="G46" s="8">
        <v>453</v>
      </c>
      <c r="H46" s="8">
        <v>2575</v>
      </c>
      <c r="I46" s="10">
        <v>0.07</v>
      </c>
      <c r="J46" s="10">
        <v>0.06</v>
      </c>
      <c r="K46" s="10">
        <v>1.04</v>
      </c>
      <c r="L46" s="23">
        <v>4.8</v>
      </c>
      <c r="M46" s="23">
        <v>1</v>
      </c>
      <c r="N46" s="23">
        <v>2.4</v>
      </c>
      <c r="O46" s="23">
        <v>3.5</v>
      </c>
      <c r="P46" s="23">
        <v>1.1</v>
      </c>
      <c r="Q46" s="8">
        <v>216</v>
      </c>
      <c r="R46" s="8">
        <v>6</v>
      </c>
      <c r="S46" s="8" t="s">
        <v>74</v>
      </c>
      <c r="T46" s="16">
        <f t="shared" si="0"/>
        <v>1.04407854110694</v>
      </c>
      <c r="U46" s="17">
        <f t="shared" si="1"/>
        <v>5.45893762558247</v>
      </c>
      <c r="V46" s="17">
        <f t="shared" si="2"/>
        <v>3.66878726556883</v>
      </c>
      <c r="W46" s="16">
        <f>IF(T46="","",0)</f>
        <v>0</v>
      </c>
      <c r="X46" s="12">
        <f>IF(OR(T46="",U46="",V46=""),"",MIN(100,IF(T46&gt;=Reference!$B$9,Reference!$C$9,IF(T46&gt;=Reference!$B$8,Reference!$C$8,IF(T46&gt;=Reference!$B$7,Reference!$C$7,0)))+IF(U46&gt;=Reference!$B$12,Reference!$C$12,IF(U46&gt;=Reference!$B$11,Reference!$C$11,IF(U46&gt;=Reference!$B$10,Reference!$C$10,0)))+IF(W46&gt;=Reference!$B$13,Reference!$C$13,0)+IF(V46&gt;=Reference!$B$15,Reference!$C$15,IF(V46&gt;=Reference!$B$14,Reference!$C$14,0))))</f>
        <v>0</v>
      </c>
      <c r="Y46" s="12" t="str">
        <f>IF(X46="","",IF(X46&gt;=Reference!$B$6,"HIGH",IF(X46&gt;Reference!$B$5,"MODERATE","LOW")))</f>
        <v>LOW</v>
      </c>
    </row>
    <row r="47" ht="15" customHeight="1" spans="1:25">
      <c r="A47" s="20">
        <v>6</v>
      </c>
      <c r="B47" s="21" t="str">
        <f>INDEX(Participants!$B$6:$B$20,A47)</f>
        <v>Sudeep</v>
      </c>
      <c r="C47" s="20">
        <v>2</v>
      </c>
      <c r="D47" s="22">
        <v>0.380162037037037</v>
      </c>
      <c r="E47" s="8" t="s">
        <v>75</v>
      </c>
      <c r="F47" s="8">
        <v>1077</v>
      </c>
      <c r="G47" s="8">
        <v>1567</v>
      </c>
      <c r="H47" s="8">
        <v>2190</v>
      </c>
      <c r="I47" s="10">
        <v>0.04</v>
      </c>
      <c r="J47" s="10">
        <v>-0.04</v>
      </c>
      <c r="K47" s="10">
        <v>1</v>
      </c>
      <c r="L47" s="23">
        <v>1.1</v>
      </c>
      <c r="M47" s="23">
        <v>0.6</v>
      </c>
      <c r="N47" s="23">
        <v>1.5</v>
      </c>
      <c r="O47" s="23">
        <v>1.2</v>
      </c>
      <c r="P47" s="23">
        <v>0.8</v>
      </c>
      <c r="Q47" s="8">
        <v>209</v>
      </c>
      <c r="R47" s="8">
        <v>7</v>
      </c>
      <c r="S47" s="8" t="s">
        <v>74</v>
      </c>
      <c r="T47" s="16">
        <f t="shared" si="0"/>
        <v>1.00159872204391</v>
      </c>
      <c r="U47" s="17">
        <f t="shared" si="1"/>
        <v>1.95448202856921</v>
      </c>
      <c r="V47" s="17">
        <f t="shared" si="2"/>
        <v>1.4422205101856</v>
      </c>
      <c r="W47" s="16">
        <f t="shared" ref="W47:W53" si="8">IF(T47="","",IF(T46="",0,ABS(T47-T46)))</f>
        <v>0.0424798190630287</v>
      </c>
      <c r="X47" s="12">
        <f>IF(OR(T47="",U47="",V47=""),"",MIN(100,IF(T47&gt;=Reference!$B$9,Reference!$C$9,IF(T47&gt;=Reference!$B$8,Reference!$C$8,IF(T47&gt;=Reference!$B$7,Reference!$C$7,0)))+IF(U47&gt;=Reference!$B$12,Reference!$C$12,IF(U47&gt;=Reference!$B$11,Reference!$C$11,IF(U47&gt;=Reference!$B$10,Reference!$C$10,0)))+IF(W47&gt;=Reference!$B$13,Reference!$C$13,0)+IF(V47&gt;=Reference!$B$15,Reference!$C$15,IF(V47&gt;=Reference!$B$14,Reference!$C$14,0))))</f>
        <v>0</v>
      </c>
      <c r="Y47" s="12" t="str">
        <f>IF(X47="","",IF(X47&gt;=Reference!$B$6,"HIGH",IF(X47&gt;Reference!$B$5,"MODERATE","LOW")))</f>
        <v>LOW</v>
      </c>
    </row>
    <row r="48" ht="15" customHeight="1" spans="1:25">
      <c r="A48" s="20">
        <v>6</v>
      </c>
      <c r="B48" s="21" t="str">
        <f>INDEX(Participants!$B$6:$B$20,A48)</f>
        <v>Sudeep</v>
      </c>
      <c r="C48" s="20">
        <v>3</v>
      </c>
      <c r="D48" s="22">
        <v>0.380231481481482</v>
      </c>
      <c r="E48" s="8" t="s">
        <v>76</v>
      </c>
      <c r="F48" s="8">
        <v>1832</v>
      </c>
      <c r="G48" s="8">
        <v>1718</v>
      </c>
      <c r="H48" s="8">
        <v>1013</v>
      </c>
      <c r="I48" s="10">
        <v>0.02</v>
      </c>
      <c r="J48" s="10">
        <v>0.04</v>
      </c>
      <c r="K48" s="10">
        <v>1.06</v>
      </c>
      <c r="L48" s="23">
        <v>1.9</v>
      </c>
      <c r="M48" s="23">
        <v>-0.6</v>
      </c>
      <c r="N48" s="23">
        <v>0.1</v>
      </c>
      <c r="O48" s="23">
        <v>0.9</v>
      </c>
      <c r="P48" s="23">
        <v>0.5</v>
      </c>
      <c r="Q48" s="8">
        <v>205</v>
      </c>
      <c r="R48" s="8">
        <v>7</v>
      </c>
      <c r="S48" s="8" t="s">
        <v>74</v>
      </c>
      <c r="T48" s="16">
        <f t="shared" si="0"/>
        <v>1.06094297678999</v>
      </c>
      <c r="U48" s="17">
        <f t="shared" si="1"/>
        <v>1.994993734326</v>
      </c>
      <c r="V48" s="17">
        <f t="shared" si="2"/>
        <v>1.0295630140987</v>
      </c>
      <c r="W48" s="16">
        <f t="shared" si="8"/>
        <v>0.0593442547460745</v>
      </c>
      <c r="X48" s="12">
        <f>IF(OR(T48="",U48="",V48=""),"",MIN(100,IF(T48&gt;=Reference!$B$9,Reference!$C$9,IF(T48&gt;=Reference!$B$8,Reference!$C$8,IF(T48&gt;=Reference!$B$7,Reference!$C$7,0)))+IF(U48&gt;=Reference!$B$12,Reference!$C$12,IF(U48&gt;=Reference!$B$11,Reference!$C$11,IF(U48&gt;=Reference!$B$10,Reference!$C$10,0)))+IF(W48&gt;=Reference!$B$13,Reference!$C$13,0)+IF(V48&gt;=Reference!$B$15,Reference!$C$15,IF(V48&gt;=Reference!$B$14,Reference!$C$14,0))))</f>
        <v>0</v>
      </c>
      <c r="Y48" s="12" t="str">
        <f>IF(X48="","",IF(X48&gt;=Reference!$B$6,"HIGH",IF(X48&gt;Reference!$B$5,"MODERATE","LOW")))</f>
        <v>LOW</v>
      </c>
    </row>
    <row r="49" ht="15" customHeight="1" spans="1:25">
      <c r="A49" s="20">
        <v>6</v>
      </c>
      <c r="B49" s="21" t="str">
        <f>INDEX(Participants!$B$6:$B$20,A49)</f>
        <v>Sudeep</v>
      </c>
      <c r="C49" s="20">
        <v>4</v>
      </c>
      <c r="D49" s="22">
        <v>0.380358796296296</v>
      </c>
      <c r="E49" s="8" t="s">
        <v>77</v>
      </c>
      <c r="F49" s="8">
        <v>2869</v>
      </c>
      <c r="G49" s="8">
        <v>1094</v>
      </c>
      <c r="H49" s="8">
        <v>267</v>
      </c>
      <c r="I49" s="10">
        <v>-0.13</v>
      </c>
      <c r="J49" s="10">
        <v>0.06</v>
      </c>
      <c r="K49" s="10">
        <v>1.14</v>
      </c>
      <c r="L49" s="23">
        <v>9.5</v>
      </c>
      <c r="M49" s="23">
        <v>3.4</v>
      </c>
      <c r="N49" s="23">
        <v>4.1</v>
      </c>
      <c r="O49" s="23">
        <v>-6.9</v>
      </c>
      <c r="P49" s="23">
        <v>2.1</v>
      </c>
      <c r="Q49" s="8">
        <v>178</v>
      </c>
      <c r="R49" s="8">
        <v>6</v>
      </c>
      <c r="S49" s="8" t="s">
        <v>74</v>
      </c>
      <c r="T49" s="16">
        <f t="shared" si="0"/>
        <v>1.14895604789739</v>
      </c>
      <c r="U49" s="17">
        <f t="shared" si="1"/>
        <v>10.8912809164028</v>
      </c>
      <c r="V49" s="17">
        <f t="shared" si="2"/>
        <v>7.21248916810279</v>
      </c>
      <c r="W49" s="16">
        <f t="shared" si="8"/>
        <v>0.088013071107407</v>
      </c>
      <c r="X49" s="12">
        <f>IF(OR(T49="",U49="",V49=""),"",MIN(100,IF(T49&gt;=Reference!$B$9,Reference!$C$9,IF(T49&gt;=Reference!$B$8,Reference!$C$8,IF(T49&gt;=Reference!$B$7,Reference!$C$7,0)))+IF(U49&gt;=Reference!$B$12,Reference!$C$12,IF(U49&gt;=Reference!$B$11,Reference!$C$11,IF(U49&gt;=Reference!$B$10,Reference!$C$10,0)))+IF(W49&gt;=Reference!$B$13,Reference!$C$13,0)+IF(V49&gt;=Reference!$B$15,Reference!$C$15,IF(V49&gt;=Reference!$B$14,Reference!$C$14,0))))</f>
        <v>0</v>
      </c>
      <c r="Y49" s="12" t="str">
        <f>IF(X49="","",IF(X49&gt;=Reference!$B$6,"HIGH",IF(X49&gt;Reference!$B$5,"MODERATE","LOW")))</f>
        <v>LOW</v>
      </c>
    </row>
    <row r="50" ht="15" customHeight="1" spans="1:25">
      <c r="A50" s="20">
        <v>6</v>
      </c>
      <c r="B50" s="21" t="str">
        <f>INDEX(Participants!$B$6:$B$20,A50)</f>
        <v>Sudeep</v>
      </c>
      <c r="C50" s="20">
        <v>5</v>
      </c>
      <c r="D50" s="22">
        <v>0.380451388888889</v>
      </c>
      <c r="E50" s="8" t="s">
        <v>78</v>
      </c>
      <c r="F50" s="8">
        <v>91</v>
      </c>
      <c r="G50" s="8">
        <v>56</v>
      </c>
      <c r="H50" s="8">
        <v>38</v>
      </c>
      <c r="I50" s="10">
        <v>0.06</v>
      </c>
      <c r="J50" s="10">
        <v>0.01</v>
      </c>
      <c r="K50" s="10">
        <v>0.96</v>
      </c>
      <c r="L50" s="23">
        <v>14.7</v>
      </c>
      <c r="M50" s="23">
        <v>4.6</v>
      </c>
      <c r="N50" s="23">
        <v>6</v>
      </c>
      <c r="O50" s="23">
        <v>-10.4</v>
      </c>
      <c r="P50" s="23">
        <v>2.6</v>
      </c>
      <c r="Q50" s="8">
        <v>168</v>
      </c>
      <c r="R50" s="8">
        <v>7</v>
      </c>
      <c r="S50" s="8" t="s">
        <v>74</v>
      </c>
      <c r="T50" s="16">
        <f t="shared" si="0"/>
        <v>0.961925153013476</v>
      </c>
      <c r="U50" s="17">
        <f t="shared" si="1"/>
        <v>16.5302752548165</v>
      </c>
      <c r="V50" s="17">
        <f t="shared" si="2"/>
        <v>10.7200746266059</v>
      </c>
      <c r="W50" s="16">
        <f t="shared" si="8"/>
        <v>0.187030894883918</v>
      </c>
      <c r="X50" s="12">
        <f>IF(OR(T50="",U50="",V50=""),"",MIN(100,IF(T50&gt;=Reference!$B$9,Reference!$C$9,IF(T50&gt;=Reference!$B$8,Reference!$C$8,IF(T50&gt;=Reference!$B$7,Reference!$C$7,0)))+IF(U50&gt;=Reference!$B$12,Reference!$C$12,IF(U50&gt;=Reference!$B$11,Reference!$C$11,IF(U50&gt;=Reference!$B$10,Reference!$C$10,0)))+IF(W50&gt;=Reference!$B$13,Reference!$C$13,0)+IF(V50&gt;=Reference!$B$15,Reference!$C$15,IF(V50&gt;=Reference!$B$14,Reference!$C$14,0))))</f>
        <v>5</v>
      </c>
      <c r="Y50" s="12" t="str">
        <f>IF(X50="","",IF(X50&gt;=Reference!$B$6,"HIGH",IF(X50&gt;Reference!$B$5,"MODERATE","LOW")))</f>
        <v>LOW</v>
      </c>
    </row>
    <row r="51" ht="15" customHeight="1" spans="1:25">
      <c r="A51" s="20">
        <v>6</v>
      </c>
      <c r="B51" s="21" t="str">
        <f>INDEX(Participants!$B$6:$B$20,A51)</f>
        <v>Sudeep</v>
      </c>
      <c r="C51" s="20">
        <v>6</v>
      </c>
      <c r="D51" s="22">
        <v>0.380543981481482</v>
      </c>
      <c r="E51" s="8" t="s">
        <v>73</v>
      </c>
      <c r="F51" s="8">
        <v>346</v>
      </c>
      <c r="G51" s="8">
        <v>478</v>
      </c>
      <c r="H51" s="8">
        <v>2958</v>
      </c>
      <c r="I51" s="10">
        <v>0.12</v>
      </c>
      <c r="J51" s="10">
        <v>0.06</v>
      </c>
      <c r="K51" s="10">
        <v>1.04</v>
      </c>
      <c r="L51" s="23">
        <v>5.3</v>
      </c>
      <c r="M51" s="23">
        <v>2.1</v>
      </c>
      <c r="N51" s="23">
        <v>1.9</v>
      </c>
      <c r="O51" s="23">
        <v>3.5</v>
      </c>
      <c r="P51" s="23">
        <v>1</v>
      </c>
      <c r="Q51" s="8">
        <v>238</v>
      </c>
      <c r="R51" s="8">
        <v>6</v>
      </c>
      <c r="S51" s="8" t="s">
        <v>74</v>
      </c>
      <c r="T51" s="16">
        <f t="shared" si="0"/>
        <v>1.04861813831347</v>
      </c>
      <c r="U51" s="17">
        <f t="shared" si="1"/>
        <v>6.00915967502945</v>
      </c>
      <c r="V51" s="17">
        <f t="shared" si="2"/>
        <v>3.64005494464026</v>
      </c>
      <c r="W51" s="16">
        <f t="shared" si="8"/>
        <v>0.0866929852999899</v>
      </c>
      <c r="X51" s="12">
        <f>IF(OR(T51="",U51="",V51=""),"",MIN(100,IF(T51&gt;=Reference!$B$9,Reference!$C$9,IF(T51&gt;=Reference!$B$8,Reference!$C$8,IF(T51&gt;=Reference!$B$7,Reference!$C$7,0)))+IF(U51&gt;=Reference!$B$12,Reference!$C$12,IF(U51&gt;=Reference!$B$11,Reference!$C$11,IF(U51&gt;=Reference!$B$10,Reference!$C$10,0)))+IF(W51&gt;=Reference!$B$13,Reference!$C$13,0)+IF(V51&gt;=Reference!$B$15,Reference!$C$15,IF(V51&gt;=Reference!$B$14,Reference!$C$14,0))))</f>
        <v>0</v>
      </c>
      <c r="Y51" s="12" t="str">
        <f>IF(X51="","",IF(X51&gt;=Reference!$B$6,"HIGH",IF(X51&gt;Reference!$B$5,"MODERATE","LOW")))</f>
        <v>LOW</v>
      </c>
    </row>
    <row r="52" ht="15" customHeight="1" spans="1:25">
      <c r="A52" s="20">
        <v>6</v>
      </c>
      <c r="B52" s="21" t="str">
        <f>INDEX(Participants!$B$6:$B$20,A52)</f>
        <v>Sudeep</v>
      </c>
      <c r="C52" s="20">
        <v>7</v>
      </c>
      <c r="D52" s="22">
        <v>0.380601851851852</v>
      </c>
      <c r="E52" s="8" t="s">
        <v>75</v>
      </c>
      <c r="F52" s="8">
        <v>980</v>
      </c>
      <c r="G52" s="8">
        <v>1488</v>
      </c>
      <c r="H52" s="8">
        <v>2221</v>
      </c>
      <c r="I52" s="10">
        <v>0.04</v>
      </c>
      <c r="J52" s="10">
        <v>-0.01</v>
      </c>
      <c r="K52" s="10">
        <v>0.99</v>
      </c>
      <c r="L52" s="23">
        <v>2.2</v>
      </c>
      <c r="M52" s="23">
        <v>0.4</v>
      </c>
      <c r="N52" s="23">
        <v>1.6</v>
      </c>
      <c r="O52" s="23">
        <v>1.2</v>
      </c>
      <c r="P52" s="23">
        <v>0.8</v>
      </c>
      <c r="Q52" s="8">
        <v>224</v>
      </c>
      <c r="R52" s="8">
        <v>8</v>
      </c>
      <c r="S52" s="8" t="s">
        <v>74</v>
      </c>
      <c r="T52" s="16">
        <f t="shared" si="0"/>
        <v>0.990858213873206</v>
      </c>
      <c r="U52" s="17">
        <f t="shared" si="1"/>
        <v>2.7495454169735</v>
      </c>
      <c r="V52" s="17">
        <f t="shared" si="2"/>
        <v>1.4422205101856</v>
      </c>
      <c r="W52" s="16">
        <f t="shared" si="8"/>
        <v>0.0577599244402603</v>
      </c>
      <c r="X52" s="12">
        <f>IF(OR(T52="",U52="",V52=""),"",MIN(100,IF(T52&gt;=Reference!$B$9,Reference!$C$9,IF(T52&gt;=Reference!$B$8,Reference!$C$8,IF(T52&gt;=Reference!$B$7,Reference!$C$7,0)))+IF(U52&gt;=Reference!$B$12,Reference!$C$12,IF(U52&gt;=Reference!$B$11,Reference!$C$11,IF(U52&gt;=Reference!$B$10,Reference!$C$10,0)))+IF(W52&gt;=Reference!$B$13,Reference!$C$13,0)+IF(V52&gt;=Reference!$B$15,Reference!$C$15,IF(V52&gt;=Reference!$B$14,Reference!$C$14,0))))</f>
        <v>0</v>
      </c>
      <c r="Y52" s="12" t="str">
        <f>IF(X52="","",IF(X52&gt;=Reference!$B$6,"HIGH",IF(X52&gt;Reference!$B$5,"MODERATE","LOW")))</f>
        <v>LOW</v>
      </c>
    </row>
    <row r="53" ht="15" customHeight="1" spans="1:25">
      <c r="A53" s="24">
        <v>6</v>
      </c>
      <c r="B53" s="25" t="str">
        <f>INDEX(Participants!$B$6:$B$20,A53)</f>
        <v>Sudeep</v>
      </c>
      <c r="C53" s="24">
        <v>8</v>
      </c>
      <c r="D53" s="26">
        <v>0.380706018518519</v>
      </c>
      <c r="E53" s="27" t="s">
        <v>77</v>
      </c>
      <c r="F53" s="27">
        <v>2675</v>
      </c>
      <c r="G53" s="27">
        <v>978</v>
      </c>
      <c r="H53" s="27">
        <v>229</v>
      </c>
      <c r="I53" s="28">
        <v>-0.09</v>
      </c>
      <c r="J53" s="28">
        <v>0.04</v>
      </c>
      <c r="K53" s="28">
        <v>1.07</v>
      </c>
      <c r="L53" s="29">
        <v>10.7</v>
      </c>
      <c r="M53" s="29">
        <v>4.1</v>
      </c>
      <c r="N53" s="29">
        <v>3.2</v>
      </c>
      <c r="O53" s="29">
        <v>-7</v>
      </c>
      <c r="P53" s="29">
        <v>2.2</v>
      </c>
      <c r="Q53" s="27">
        <v>185</v>
      </c>
      <c r="R53" s="27">
        <v>8</v>
      </c>
      <c r="S53" s="27" t="s">
        <v>74</v>
      </c>
      <c r="T53" s="30">
        <f t="shared" si="0"/>
        <v>1.07452315005308</v>
      </c>
      <c r="U53" s="31">
        <f t="shared" si="1"/>
        <v>11.8970584599724</v>
      </c>
      <c r="V53" s="31">
        <f t="shared" si="2"/>
        <v>7.33757453113766</v>
      </c>
      <c r="W53" s="30">
        <f t="shared" si="8"/>
        <v>0.083664936179877</v>
      </c>
      <c r="X53" s="32">
        <f>IF(OR(T53="",U53="",V53=""),"",MIN(100,IF(T53&gt;=Reference!$B$9,Reference!$C$9,IF(T53&gt;=Reference!$B$8,Reference!$C$8,IF(T53&gt;=Reference!$B$7,Reference!$C$7,0)))+IF(U53&gt;=Reference!$B$12,Reference!$C$12,IF(U53&gt;=Reference!$B$11,Reference!$C$11,IF(U53&gt;=Reference!$B$10,Reference!$C$10,0)))+IF(W53&gt;=Reference!$B$13,Reference!$C$13,0)+IF(V53&gt;=Reference!$B$15,Reference!$C$15,IF(V53&gt;=Reference!$B$14,Reference!$C$14,0))))</f>
        <v>0</v>
      </c>
      <c r="Y53" s="32" t="str">
        <f>IF(X53="","",IF(X53&gt;=Reference!$B$6,"HIGH",IF(X53&gt;Reference!$B$5,"MODERATE","LOW")))</f>
        <v>LOW</v>
      </c>
    </row>
    <row r="54" ht="15" customHeight="1" spans="1:25">
      <c r="A54" s="20">
        <v>7</v>
      </c>
      <c r="B54" s="21" t="str">
        <f>INDEX(Participants!$B$6:$B$20,A54)</f>
        <v>Dhairya</v>
      </c>
      <c r="C54" s="20">
        <v>1</v>
      </c>
      <c r="D54" s="22">
        <v>0.361203703703704</v>
      </c>
      <c r="E54" s="8" t="s">
        <v>73</v>
      </c>
      <c r="F54" s="8">
        <v>640</v>
      </c>
      <c r="G54" s="8">
        <v>815</v>
      </c>
      <c r="H54" s="8">
        <v>3152</v>
      </c>
      <c r="I54" s="10">
        <v>0.2</v>
      </c>
      <c r="J54" s="10">
        <v>0.11</v>
      </c>
      <c r="K54" s="10">
        <v>1.17</v>
      </c>
      <c r="L54" s="23">
        <v>17.5</v>
      </c>
      <c r="M54" s="23">
        <v>11</v>
      </c>
      <c r="N54" s="23">
        <v>10</v>
      </c>
      <c r="O54" s="23">
        <v>4.6</v>
      </c>
      <c r="P54" s="23">
        <v>1.9</v>
      </c>
      <c r="Q54" s="8">
        <v>166</v>
      </c>
      <c r="R54" s="8">
        <v>9</v>
      </c>
      <c r="S54" s="8" t="s">
        <v>74</v>
      </c>
      <c r="T54" s="16">
        <f t="shared" si="0"/>
        <v>1.19205704561485</v>
      </c>
      <c r="U54" s="17">
        <f t="shared" si="1"/>
        <v>22.9619250064101</v>
      </c>
      <c r="V54" s="17">
        <f t="shared" si="2"/>
        <v>4.97694685525172</v>
      </c>
      <c r="W54" s="16">
        <f>IF(T54="","",0)</f>
        <v>0</v>
      </c>
      <c r="X54" s="12">
        <f>IF(OR(T54="",U54="",V54=""),"",MIN(100,IF(T54&gt;=Reference!$B$9,Reference!$C$9,IF(T54&gt;=Reference!$B$8,Reference!$C$8,IF(T54&gt;=Reference!$B$7,Reference!$C$7,0)))+IF(U54&gt;=Reference!$B$12,Reference!$C$12,IF(U54&gt;=Reference!$B$11,Reference!$C$11,IF(U54&gt;=Reference!$B$10,Reference!$C$10,0)))+IF(W54&gt;=Reference!$B$13,Reference!$C$13,0)+IF(V54&gt;=Reference!$B$15,Reference!$C$15,IF(V54&gt;=Reference!$B$14,Reference!$C$14,0))))</f>
        <v>8</v>
      </c>
      <c r="Y54" s="12" t="str">
        <f>IF(X54="","",IF(X54&gt;=Reference!$B$6,"HIGH",IF(X54&gt;Reference!$B$5,"MODERATE","LOW")))</f>
        <v>LOW</v>
      </c>
    </row>
    <row r="55" ht="15" customHeight="1" spans="1:25">
      <c r="A55" s="20">
        <v>7</v>
      </c>
      <c r="B55" s="21" t="str">
        <f>INDEX(Participants!$B$6:$B$20,A55)</f>
        <v>Dhairya</v>
      </c>
      <c r="C55" s="20">
        <v>2</v>
      </c>
      <c r="D55" s="22">
        <v>0.361273148148148</v>
      </c>
      <c r="E55" s="8" t="s">
        <v>75</v>
      </c>
      <c r="F55" s="8">
        <v>1517</v>
      </c>
      <c r="G55" s="8">
        <v>2367</v>
      </c>
      <c r="H55" s="8">
        <v>3227</v>
      </c>
      <c r="I55" s="10">
        <v>0.19</v>
      </c>
      <c r="J55" s="10">
        <v>-0.07</v>
      </c>
      <c r="K55" s="10">
        <v>1.13</v>
      </c>
      <c r="L55" s="23">
        <v>12.2</v>
      </c>
      <c r="M55" s="23">
        <v>8.3</v>
      </c>
      <c r="N55" s="23">
        <v>6.4</v>
      </c>
      <c r="O55" s="23">
        <v>2.6</v>
      </c>
      <c r="P55" s="23">
        <v>1.7</v>
      </c>
      <c r="Q55" s="8">
        <v>141</v>
      </c>
      <c r="R55" s="8">
        <v>7</v>
      </c>
      <c r="S55" s="8" t="s">
        <v>74</v>
      </c>
      <c r="T55" s="16">
        <f t="shared" si="0"/>
        <v>1.1479982578384</v>
      </c>
      <c r="U55" s="17">
        <f t="shared" si="1"/>
        <v>16.0838428243999</v>
      </c>
      <c r="V55" s="17">
        <f t="shared" si="2"/>
        <v>3.10644491340181</v>
      </c>
      <c r="W55" s="16">
        <f t="shared" ref="W55:W61" si="9">IF(T55="","",IF(T54="",0,ABS(T55-T54)))</f>
        <v>0.0440587877764489</v>
      </c>
      <c r="X55" s="12">
        <f>IF(OR(T55="",U55="",V55=""),"",MIN(100,IF(T55&gt;=Reference!$B$9,Reference!$C$9,IF(T55&gt;=Reference!$B$8,Reference!$C$8,IF(T55&gt;=Reference!$B$7,Reference!$C$7,0)))+IF(U55&gt;=Reference!$B$12,Reference!$C$12,IF(U55&gt;=Reference!$B$11,Reference!$C$11,IF(U55&gt;=Reference!$B$10,Reference!$C$10,0)))+IF(W55&gt;=Reference!$B$13,Reference!$C$13,0)+IF(V55&gt;=Reference!$B$15,Reference!$C$15,IF(V55&gt;=Reference!$B$14,Reference!$C$14,0))))</f>
        <v>0</v>
      </c>
      <c r="Y55" s="12" t="str">
        <f>IF(X55="","",IF(X55&gt;=Reference!$B$6,"HIGH",IF(X55&gt;Reference!$B$5,"MODERATE","LOW")))</f>
        <v>LOW</v>
      </c>
    </row>
    <row r="56" ht="15" customHeight="1" spans="1:25">
      <c r="A56" s="20">
        <v>7</v>
      </c>
      <c r="B56" s="21" t="str">
        <f>INDEX(Participants!$B$6:$B$20,A56)</f>
        <v>Dhairya</v>
      </c>
      <c r="C56" s="20">
        <v>3</v>
      </c>
      <c r="D56" s="22">
        <v>0.361342592592593</v>
      </c>
      <c r="E56" s="8" t="s">
        <v>79</v>
      </c>
      <c r="F56" s="8">
        <v>3428</v>
      </c>
      <c r="G56" s="8">
        <v>1241</v>
      </c>
      <c r="H56" s="8">
        <v>443</v>
      </c>
      <c r="I56" s="10">
        <v>-0.34</v>
      </c>
      <c r="J56" s="10">
        <v>0.2</v>
      </c>
      <c r="K56" s="10">
        <v>1.31</v>
      </c>
      <c r="L56" s="23">
        <v>30</v>
      </c>
      <c r="M56" s="23">
        <v>20.9</v>
      </c>
      <c r="N56" s="23">
        <v>23.4</v>
      </c>
      <c r="O56" s="23">
        <v>5.7</v>
      </c>
      <c r="P56" s="23">
        <v>9.5</v>
      </c>
      <c r="Q56" s="8">
        <v>132</v>
      </c>
      <c r="R56" s="8">
        <v>8</v>
      </c>
      <c r="S56" s="8" t="s">
        <v>74</v>
      </c>
      <c r="T56" s="16">
        <f t="shared" si="0"/>
        <v>1.36810087347388</v>
      </c>
      <c r="U56" s="17">
        <f t="shared" si="1"/>
        <v>43.4093307941968</v>
      </c>
      <c r="V56" s="17">
        <f t="shared" si="2"/>
        <v>11.0788086002061</v>
      </c>
      <c r="W56" s="16">
        <f t="shared" si="9"/>
        <v>0.220102615635483</v>
      </c>
      <c r="X56" s="12">
        <f>IF(OR(T56="",U56="",V56=""),"",MIN(100,IF(T56&gt;=Reference!$B$9,Reference!$C$9,IF(T56&gt;=Reference!$B$8,Reference!$C$8,IF(T56&gt;=Reference!$B$7,Reference!$C$7,0)))+IF(U56&gt;=Reference!$B$12,Reference!$C$12,IF(U56&gt;=Reference!$B$11,Reference!$C$11,IF(U56&gt;=Reference!$B$10,Reference!$C$10,0)))+IF(W56&gt;=Reference!$B$13,Reference!$C$13,0)+IF(V56&gt;=Reference!$B$15,Reference!$C$15,IF(V56&gt;=Reference!$B$14,Reference!$C$14,0))))</f>
        <v>35</v>
      </c>
      <c r="Y56" s="12" t="str">
        <f>IF(X56="","",IF(X56&gt;=Reference!$B$6,"HIGH",IF(X56&gt;Reference!$B$5,"MODERATE","LOW")))</f>
        <v>LOW</v>
      </c>
    </row>
    <row r="57" ht="15" customHeight="1" spans="1:25">
      <c r="A57" s="20">
        <v>7</v>
      </c>
      <c r="B57" s="21" t="str">
        <f>INDEX(Participants!$B$6:$B$20,A57)</f>
        <v>Dhairya</v>
      </c>
      <c r="C57" s="20">
        <v>4</v>
      </c>
      <c r="D57" s="22">
        <v>0.361400462962963</v>
      </c>
      <c r="E57" s="8" t="s">
        <v>78</v>
      </c>
      <c r="F57" s="8">
        <v>130</v>
      </c>
      <c r="G57" s="8">
        <v>90</v>
      </c>
      <c r="H57" s="8">
        <v>53</v>
      </c>
      <c r="I57" s="10">
        <v>0.25</v>
      </c>
      <c r="J57" s="10">
        <v>0.23</v>
      </c>
      <c r="K57" s="10">
        <v>1.1</v>
      </c>
      <c r="L57" s="23">
        <v>18.4</v>
      </c>
      <c r="M57" s="23">
        <v>10.4</v>
      </c>
      <c r="N57" s="23">
        <v>17.1</v>
      </c>
      <c r="O57" s="23">
        <v>-7.2</v>
      </c>
      <c r="P57" s="23">
        <v>3.2</v>
      </c>
      <c r="Q57" s="8">
        <v>169</v>
      </c>
      <c r="R57" s="8">
        <v>7</v>
      </c>
      <c r="S57" s="8" t="s">
        <v>74</v>
      </c>
      <c r="T57" s="16">
        <f t="shared" si="0"/>
        <v>1.15126017910809</v>
      </c>
      <c r="U57" s="17">
        <f t="shared" si="1"/>
        <v>27.1869453966421</v>
      </c>
      <c r="V57" s="17">
        <f t="shared" si="2"/>
        <v>7.87908624143688</v>
      </c>
      <c r="W57" s="16">
        <f t="shared" si="9"/>
        <v>0.216840694365789</v>
      </c>
      <c r="X57" s="12">
        <f>IF(OR(T57="",U57="",V57=""),"",MIN(100,IF(T57&gt;=Reference!$B$9,Reference!$C$9,IF(T57&gt;=Reference!$B$8,Reference!$C$8,IF(T57&gt;=Reference!$B$7,Reference!$C$7,0)))+IF(U57&gt;=Reference!$B$12,Reference!$C$12,IF(U57&gt;=Reference!$B$11,Reference!$C$11,IF(U57&gt;=Reference!$B$10,Reference!$C$10,0)))+IF(W57&gt;=Reference!$B$13,Reference!$C$13,0)+IF(V57&gt;=Reference!$B$15,Reference!$C$15,IF(V57&gt;=Reference!$B$14,Reference!$C$14,0))))</f>
        <v>8</v>
      </c>
      <c r="Y57" s="12" t="str">
        <f>IF(X57="","",IF(X57&gt;=Reference!$B$6,"HIGH",IF(X57&gt;Reference!$B$5,"MODERATE","LOW")))</f>
        <v>LOW</v>
      </c>
    </row>
    <row r="58" ht="15" customHeight="1" spans="1:25">
      <c r="A58" s="20">
        <v>7</v>
      </c>
      <c r="B58" s="21" t="str">
        <f>INDEX(Participants!$B$6:$B$20,A58)</f>
        <v>Dhairya</v>
      </c>
      <c r="C58" s="20">
        <v>5</v>
      </c>
      <c r="D58" s="22">
        <v>0.361516203703704</v>
      </c>
      <c r="E58" s="8" t="s">
        <v>79</v>
      </c>
      <c r="F58" s="8">
        <v>761</v>
      </c>
      <c r="G58" s="8">
        <v>813</v>
      </c>
      <c r="H58" s="8">
        <v>3469</v>
      </c>
      <c r="I58" s="10">
        <v>0.62</v>
      </c>
      <c r="J58" s="10">
        <v>0.36</v>
      </c>
      <c r="K58" s="10">
        <v>1.4</v>
      </c>
      <c r="L58" s="23">
        <v>36.5</v>
      </c>
      <c r="M58" s="23">
        <v>18.6</v>
      </c>
      <c r="N58" s="23">
        <v>34.9</v>
      </c>
      <c r="O58" s="23">
        <v>5.7</v>
      </c>
      <c r="P58" s="23">
        <v>8.7</v>
      </c>
      <c r="Q58" s="8">
        <v>88</v>
      </c>
      <c r="R58" s="8">
        <v>9</v>
      </c>
      <c r="S58" s="8" t="s">
        <v>74</v>
      </c>
      <c r="T58" s="16">
        <f t="shared" si="0"/>
        <v>1.57289541928254</v>
      </c>
      <c r="U58" s="17">
        <f t="shared" si="1"/>
        <v>53.8165402083783</v>
      </c>
      <c r="V58" s="17">
        <f t="shared" si="2"/>
        <v>10.4009614940158</v>
      </c>
      <c r="W58" s="16">
        <f t="shared" si="9"/>
        <v>0.421635240174447</v>
      </c>
      <c r="X58" s="12">
        <f>IF(OR(T58="",U58="",V58=""),"",MIN(100,IF(T58&gt;=Reference!$B$9,Reference!$C$9,IF(T58&gt;=Reference!$B$8,Reference!$C$8,IF(T58&gt;=Reference!$B$7,Reference!$C$7,0)))+IF(U58&gt;=Reference!$B$12,Reference!$C$12,IF(U58&gt;=Reference!$B$11,Reference!$C$11,IF(U58&gt;=Reference!$B$10,Reference!$C$10,0)))+IF(W58&gt;=Reference!$B$13,Reference!$C$13,0)+IF(V58&gt;=Reference!$B$15,Reference!$C$15,IF(V58&gt;=Reference!$B$14,Reference!$C$14,0))))</f>
        <v>65</v>
      </c>
      <c r="Y58" s="12" t="str">
        <f>IF(X58="","",IF(X58&gt;=Reference!$B$6,"HIGH",IF(X58&gt;Reference!$B$5,"MODERATE","LOW")))</f>
        <v>MODERATE</v>
      </c>
    </row>
    <row r="59" ht="15" customHeight="1" spans="1:25">
      <c r="A59" s="20">
        <v>7</v>
      </c>
      <c r="B59" s="21" t="str">
        <f>INDEX(Participants!$B$6:$B$20,A59)</f>
        <v>Dhairya</v>
      </c>
      <c r="C59" s="20">
        <v>6</v>
      </c>
      <c r="D59" s="22">
        <v>0.361597222222222</v>
      </c>
      <c r="E59" s="8" t="s">
        <v>75</v>
      </c>
      <c r="F59" s="8">
        <v>1521</v>
      </c>
      <c r="G59" s="8">
        <v>2444</v>
      </c>
      <c r="H59" s="8">
        <v>2612</v>
      </c>
      <c r="I59" s="10">
        <v>0.18</v>
      </c>
      <c r="J59" s="10">
        <v>0.09</v>
      </c>
      <c r="K59" s="10">
        <v>1.16</v>
      </c>
      <c r="L59" s="23">
        <v>12.1</v>
      </c>
      <c r="M59" s="23">
        <v>7.8</v>
      </c>
      <c r="N59" s="23">
        <v>5.9</v>
      </c>
      <c r="O59" s="23">
        <v>2.9</v>
      </c>
      <c r="P59" s="23">
        <v>2</v>
      </c>
      <c r="Q59" s="8">
        <v>136</v>
      </c>
      <c r="R59" s="8">
        <v>8</v>
      </c>
      <c r="S59" s="8" t="s">
        <v>74</v>
      </c>
      <c r="T59" s="16">
        <f t="shared" si="0"/>
        <v>1.17732748205416</v>
      </c>
      <c r="U59" s="17">
        <f t="shared" si="1"/>
        <v>15.558277539625</v>
      </c>
      <c r="V59" s="17">
        <f t="shared" si="2"/>
        <v>3.52278299076171</v>
      </c>
      <c r="W59" s="16">
        <f t="shared" si="9"/>
        <v>0.395567937228376</v>
      </c>
      <c r="X59" s="12">
        <f>IF(OR(T59="",U59="",V59=""),"",MIN(100,IF(T59&gt;=Reference!$B$9,Reference!$C$9,IF(T59&gt;=Reference!$B$8,Reference!$C$8,IF(T59&gt;=Reference!$B$7,Reference!$C$7,0)))+IF(U59&gt;=Reference!$B$12,Reference!$C$12,IF(U59&gt;=Reference!$B$11,Reference!$C$11,IF(U59&gt;=Reference!$B$10,Reference!$C$10,0)))+IF(W59&gt;=Reference!$B$13,Reference!$C$13,0)+IF(V59&gt;=Reference!$B$15,Reference!$C$15,IF(V59&gt;=Reference!$B$14,Reference!$C$14,0))))</f>
        <v>0</v>
      </c>
      <c r="Y59" s="12" t="str">
        <f>IF(X59="","",IF(X59&gt;=Reference!$B$6,"HIGH",IF(X59&gt;Reference!$B$5,"MODERATE","LOW")))</f>
        <v>LOW</v>
      </c>
    </row>
    <row r="60" ht="15" customHeight="1" spans="1:25">
      <c r="A60" s="20">
        <v>7</v>
      </c>
      <c r="B60" s="21" t="str">
        <f>INDEX(Participants!$B$6:$B$20,A60)</f>
        <v>Dhairya</v>
      </c>
      <c r="C60" s="20">
        <v>7</v>
      </c>
      <c r="D60" s="22">
        <v>0.361655092592593</v>
      </c>
      <c r="E60" s="8" t="s">
        <v>77</v>
      </c>
      <c r="F60" s="8">
        <v>3058</v>
      </c>
      <c r="G60" s="8">
        <v>1249</v>
      </c>
      <c r="H60" s="8">
        <v>416</v>
      </c>
      <c r="I60" s="10">
        <v>0.11</v>
      </c>
      <c r="J60" s="10">
        <v>-0.06</v>
      </c>
      <c r="K60" s="10">
        <v>1.09</v>
      </c>
      <c r="L60" s="23">
        <v>8.7</v>
      </c>
      <c r="M60" s="23">
        <v>3.9</v>
      </c>
      <c r="N60" s="23">
        <v>2.7</v>
      </c>
      <c r="O60" s="23">
        <v>-5.4</v>
      </c>
      <c r="P60" s="23">
        <v>2.2</v>
      </c>
      <c r="Q60" s="8">
        <v>157</v>
      </c>
      <c r="R60" s="8">
        <v>8</v>
      </c>
      <c r="S60" s="8" t="s">
        <v>74</v>
      </c>
      <c r="T60" s="16">
        <f t="shared" si="0"/>
        <v>1.09717819883554</v>
      </c>
      <c r="U60" s="17">
        <f t="shared" si="1"/>
        <v>9.90908673894825</v>
      </c>
      <c r="V60" s="17">
        <f t="shared" si="2"/>
        <v>5.8309518948453</v>
      </c>
      <c r="W60" s="16">
        <f t="shared" si="9"/>
        <v>0.0801492832186246</v>
      </c>
      <c r="X60" s="12">
        <f>IF(OR(T60="",U60="",V60=""),"",MIN(100,IF(T60&gt;=Reference!$B$9,Reference!$C$9,IF(T60&gt;=Reference!$B$8,Reference!$C$8,IF(T60&gt;=Reference!$B$7,Reference!$C$7,0)))+IF(U60&gt;=Reference!$B$12,Reference!$C$12,IF(U60&gt;=Reference!$B$11,Reference!$C$11,IF(U60&gt;=Reference!$B$10,Reference!$C$10,0)))+IF(W60&gt;=Reference!$B$13,Reference!$C$13,0)+IF(V60&gt;=Reference!$B$15,Reference!$C$15,IF(V60&gt;=Reference!$B$14,Reference!$C$14,0))))</f>
        <v>0</v>
      </c>
      <c r="Y60" s="12" t="str">
        <f>IF(X60="","",IF(X60&gt;=Reference!$B$6,"HIGH",IF(X60&gt;Reference!$B$5,"MODERATE","LOW")))</f>
        <v>LOW</v>
      </c>
    </row>
    <row r="61" ht="15" customHeight="1" spans="1:25">
      <c r="A61" s="24">
        <v>7</v>
      </c>
      <c r="B61" s="25" t="str">
        <f>INDEX(Participants!$B$6:$B$20,A61)</f>
        <v>Dhairya</v>
      </c>
      <c r="C61" s="24">
        <v>8</v>
      </c>
      <c r="D61" s="26">
        <v>0.361736111111111</v>
      </c>
      <c r="E61" s="27" t="s">
        <v>73</v>
      </c>
      <c r="F61" s="27">
        <v>656</v>
      </c>
      <c r="G61" s="27">
        <v>848</v>
      </c>
      <c r="H61" s="27">
        <v>3625</v>
      </c>
      <c r="I61" s="28">
        <v>0.31</v>
      </c>
      <c r="J61" s="28">
        <v>0.17</v>
      </c>
      <c r="K61" s="28">
        <v>1.21</v>
      </c>
      <c r="L61" s="29">
        <v>25.9</v>
      </c>
      <c r="M61" s="29">
        <v>12.2</v>
      </c>
      <c r="N61" s="29">
        <v>15.2</v>
      </c>
      <c r="O61" s="29">
        <v>4.2</v>
      </c>
      <c r="P61" s="29">
        <v>3.3</v>
      </c>
      <c r="Q61" s="27">
        <v>126</v>
      </c>
      <c r="R61" s="27">
        <v>8</v>
      </c>
      <c r="S61" s="27" t="s">
        <v>74</v>
      </c>
      <c r="T61" s="30">
        <f t="shared" si="0"/>
        <v>1.26059509756305</v>
      </c>
      <c r="U61" s="31">
        <f t="shared" si="1"/>
        <v>32.4143486746225</v>
      </c>
      <c r="V61" s="31">
        <f t="shared" si="2"/>
        <v>5.34134814442946</v>
      </c>
      <c r="W61" s="30">
        <f t="shared" si="9"/>
        <v>0.163416898727512</v>
      </c>
      <c r="X61" s="32">
        <f>IF(OR(T61="",U61="",V61=""),"",MIN(100,IF(T61&gt;=Reference!$B$9,Reference!$C$9,IF(T61&gt;=Reference!$B$8,Reference!$C$8,IF(T61&gt;=Reference!$B$7,Reference!$C$7,0)))+IF(U61&gt;=Reference!$B$12,Reference!$C$12,IF(U61&gt;=Reference!$B$11,Reference!$C$11,IF(U61&gt;=Reference!$B$10,Reference!$C$10,0)))+IF(W61&gt;=Reference!$B$13,Reference!$C$13,0)+IF(V61&gt;=Reference!$B$15,Reference!$C$15,IF(V61&gt;=Reference!$B$14,Reference!$C$14,0))))</f>
        <v>20</v>
      </c>
      <c r="Y61" s="32" t="str">
        <f>IF(X61="","",IF(X61&gt;=Reference!$B$6,"HIGH",IF(X61&gt;Reference!$B$5,"MODERATE","LOW")))</f>
        <v>LOW</v>
      </c>
    </row>
    <row r="62" ht="15" customHeight="1" spans="1:25">
      <c r="A62" s="20">
        <v>8</v>
      </c>
      <c r="B62" s="21" t="str">
        <f>INDEX(Participants!$B$6:$B$20,A62)</f>
        <v>Sanjana</v>
      </c>
      <c r="C62" s="20">
        <v>1</v>
      </c>
      <c r="D62" s="22">
        <v>0.386226851851852</v>
      </c>
      <c r="E62" s="8" t="s">
        <v>73</v>
      </c>
      <c r="F62" s="8">
        <v>295</v>
      </c>
      <c r="G62" s="8">
        <v>446</v>
      </c>
      <c r="H62" s="8">
        <v>2563</v>
      </c>
      <c r="I62" s="10">
        <v>0.07</v>
      </c>
      <c r="J62" s="10">
        <v>0.04</v>
      </c>
      <c r="K62" s="10">
        <v>1.02</v>
      </c>
      <c r="L62" s="23">
        <v>4</v>
      </c>
      <c r="M62" s="23">
        <v>0.9</v>
      </c>
      <c r="N62" s="23">
        <v>1.8</v>
      </c>
      <c r="O62" s="23">
        <v>3.3</v>
      </c>
      <c r="P62" s="23">
        <v>1.1</v>
      </c>
      <c r="Q62" s="8">
        <v>212</v>
      </c>
      <c r="R62" s="8">
        <v>8</v>
      </c>
      <c r="S62" s="8" t="s">
        <v>74</v>
      </c>
      <c r="T62" s="16">
        <f t="shared" si="0"/>
        <v>1.02318131335556</v>
      </c>
      <c r="U62" s="17">
        <f t="shared" si="1"/>
        <v>4.47772263544762</v>
      </c>
      <c r="V62" s="17">
        <f t="shared" si="2"/>
        <v>3.47850542618522</v>
      </c>
      <c r="W62" s="16">
        <f>IF(T62="","",0)</f>
        <v>0</v>
      </c>
      <c r="X62" s="12">
        <f>IF(OR(T62="",U62="",V62=""),"",MIN(100,IF(T62&gt;=Reference!$B$9,Reference!$C$9,IF(T62&gt;=Reference!$B$8,Reference!$C$8,IF(T62&gt;=Reference!$B$7,Reference!$C$7,0)))+IF(U62&gt;=Reference!$B$12,Reference!$C$12,IF(U62&gt;=Reference!$B$11,Reference!$C$11,IF(U62&gt;=Reference!$B$10,Reference!$C$10,0)))+IF(W62&gt;=Reference!$B$13,Reference!$C$13,0)+IF(V62&gt;=Reference!$B$15,Reference!$C$15,IF(V62&gt;=Reference!$B$14,Reference!$C$14,0))))</f>
        <v>0</v>
      </c>
      <c r="Y62" s="12" t="str">
        <f>IF(X62="","",IF(X62&gt;=Reference!$B$6,"HIGH",IF(X62&gt;Reference!$B$5,"MODERATE","LOW")))</f>
        <v>LOW</v>
      </c>
    </row>
    <row r="63" ht="15" customHeight="1" spans="1:25">
      <c r="A63" s="20">
        <v>8</v>
      </c>
      <c r="B63" s="21" t="str">
        <f>INDEX(Participants!$B$6:$B$20,A63)</f>
        <v>Sanjana</v>
      </c>
      <c r="C63" s="20">
        <v>2</v>
      </c>
      <c r="D63" s="22">
        <v>0.386331018518519</v>
      </c>
      <c r="E63" s="8" t="s">
        <v>75</v>
      </c>
      <c r="F63" s="8">
        <v>931</v>
      </c>
      <c r="G63" s="8">
        <v>1551</v>
      </c>
      <c r="H63" s="8">
        <v>2064</v>
      </c>
      <c r="I63" s="10">
        <v>0.05</v>
      </c>
      <c r="J63" s="10">
        <v>-0.02</v>
      </c>
      <c r="K63" s="10">
        <v>0.96</v>
      </c>
      <c r="L63" s="23">
        <v>1.7</v>
      </c>
      <c r="M63" s="23">
        <v>0.4</v>
      </c>
      <c r="N63" s="23">
        <v>1.2</v>
      </c>
      <c r="O63" s="23">
        <v>1.5</v>
      </c>
      <c r="P63" s="23">
        <v>0.8</v>
      </c>
      <c r="Q63" s="8">
        <v>217</v>
      </c>
      <c r="R63" s="8">
        <v>7</v>
      </c>
      <c r="S63" s="8" t="s">
        <v>74</v>
      </c>
      <c r="T63" s="16">
        <f t="shared" si="0"/>
        <v>0.96150923032491</v>
      </c>
      <c r="U63" s="17">
        <f t="shared" si="1"/>
        <v>2.11896201004171</v>
      </c>
      <c r="V63" s="17">
        <f t="shared" si="2"/>
        <v>1.7</v>
      </c>
      <c r="W63" s="16">
        <f t="shared" ref="W63:W69" si="10">IF(T63="","",IF(T62="",0,ABS(T63-T62)))</f>
        <v>0.0616720830306463</v>
      </c>
      <c r="X63" s="12">
        <f>IF(OR(T63="",U63="",V63=""),"",MIN(100,IF(T63&gt;=Reference!$B$9,Reference!$C$9,IF(T63&gt;=Reference!$B$8,Reference!$C$8,IF(T63&gt;=Reference!$B$7,Reference!$C$7,0)))+IF(U63&gt;=Reference!$B$12,Reference!$C$12,IF(U63&gt;=Reference!$B$11,Reference!$C$11,IF(U63&gt;=Reference!$B$10,Reference!$C$10,0)))+IF(W63&gt;=Reference!$B$13,Reference!$C$13,0)+IF(V63&gt;=Reference!$B$15,Reference!$C$15,IF(V63&gt;=Reference!$B$14,Reference!$C$14,0))))</f>
        <v>0</v>
      </c>
      <c r="Y63" s="12" t="str">
        <f>IF(X63="","",IF(X63&gt;=Reference!$B$6,"HIGH",IF(X63&gt;Reference!$B$5,"MODERATE","LOW")))</f>
        <v>LOW</v>
      </c>
    </row>
    <row r="64" ht="15" customHeight="1" spans="1:25">
      <c r="A64" s="20">
        <v>8</v>
      </c>
      <c r="B64" s="21" t="str">
        <f>INDEX(Participants!$B$6:$B$20,A64)</f>
        <v>Sanjana</v>
      </c>
      <c r="C64" s="20">
        <v>3</v>
      </c>
      <c r="D64" s="22">
        <v>0.386400462962963</v>
      </c>
      <c r="E64" s="8" t="s">
        <v>76</v>
      </c>
      <c r="F64" s="8">
        <v>1659</v>
      </c>
      <c r="G64" s="8">
        <v>1721</v>
      </c>
      <c r="H64" s="8">
        <v>991</v>
      </c>
      <c r="I64" s="10">
        <v>0.01</v>
      </c>
      <c r="J64" s="10">
        <v>0.04</v>
      </c>
      <c r="K64" s="10">
        <v>1.05</v>
      </c>
      <c r="L64" s="23">
        <v>2.3</v>
      </c>
      <c r="M64" s="23">
        <v>-1.1</v>
      </c>
      <c r="N64" s="23">
        <v>0.6</v>
      </c>
      <c r="O64" s="23">
        <v>0.9</v>
      </c>
      <c r="P64" s="23">
        <v>0.5</v>
      </c>
      <c r="Q64" s="8">
        <v>173</v>
      </c>
      <c r="R64" s="8">
        <v>8</v>
      </c>
      <c r="S64" s="8" t="s">
        <v>74</v>
      </c>
      <c r="T64" s="16">
        <f t="shared" si="0"/>
        <v>1.05080921198855</v>
      </c>
      <c r="U64" s="17">
        <f t="shared" si="1"/>
        <v>2.61916017074176</v>
      </c>
      <c r="V64" s="17">
        <f t="shared" si="2"/>
        <v>1.0295630140987</v>
      </c>
      <c r="W64" s="16">
        <f t="shared" si="10"/>
        <v>0.0892999816636417</v>
      </c>
      <c r="X64" s="12">
        <f>IF(OR(T64="",U64="",V64=""),"",MIN(100,IF(T64&gt;=Reference!$B$9,Reference!$C$9,IF(T64&gt;=Reference!$B$8,Reference!$C$8,IF(T64&gt;=Reference!$B$7,Reference!$C$7,0)))+IF(U64&gt;=Reference!$B$12,Reference!$C$12,IF(U64&gt;=Reference!$B$11,Reference!$C$11,IF(U64&gt;=Reference!$B$10,Reference!$C$10,0)))+IF(W64&gt;=Reference!$B$13,Reference!$C$13,0)+IF(V64&gt;=Reference!$B$15,Reference!$C$15,IF(V64&gt;=Reference!$B$14,Reference!$C$14,0))))</f>
        <v>0</v>
      </c>
      <c r="Y64" s="12" t="str">
        <f>IF(X64="","",IF(X64&gt;=Reference!$B$6,"HIGH",IF(X64&gt;Reference!$B$5,"MODERATE","LOW")))</f>
        <v>LOW</v>
      </c>
    </row>
    <row r="65" ht="15" customHeight="1" spans="1:25">
      <c r="A65" s="20">
        <v>8</v>
      </c>
      <c r="B65" s="21" t="str">
        <f>INDEX(Participants!$B$6:$B$20,A65)</f>
        <v>Sanjana</v>
      </c>
      <c r="C65" s="20">
        <v>4</v>
      </c>
      <c r="D65" s="22">
        <v>0.386493055555556</v>
      </c>
      <c r="E65" s="8" t="s">
        <v>77</v>
      </c>
      <c r="F65" s="8">
        <v>2548</v>
      </c>
      <c r="G65" s="8">
        <v>1062</v>
      </c>
      <c r="H65" s="8">
        <v>237</v>
      </c>
      <c r="I65" s="10">
        <v>-0.11</v>
      </c>
      <c r="J65" s="10">
        <v>0.07</v>
      </c>
      <c r="K65" s="10">
        <v>1.1</v>
      </c>
      <c r="L65" s="23">
        <v>9.4</v>
      </c>
      <c r="M65" s="23">
        <v>3.1</v>
      </c>
      <c r="N65" s="23">
        <v>4.3</v>
      </c>
      <c r="O65" s="23">
        <v>-5.9</v>
      </c>
      <c r="P65" s="23">
        <v>1.9</v>
      </c>
      <c r="Q65" s="8">
        <v>153</v>
      </c>
      <c r="R65" s="8">
        <v>7</v>
      </c>
      <c r="S65" s="8" t="s">
        <v>74</v>
      </c>
      <c r="T65" s="16">
        <f t="shared" si="0"/>
        <v>1.10770032048384</v>
      </c>
      <c r="U65" s="17">
        <f t="shared" si="1"/>
        <v>10.791663449163</v>
      </c>
      <c r="V65" s="17">
        <f t="shared" si="2"/>
        <v>6.19838688692469</v>
      </c>
      <c r="W65" s="16">
        <f t="shared" si="10"/>
        <v>0.0568911084952879</v>
      </c>
      <c r="X65" s="12">
        <f>IF(OR(T65="",U65="",V65=""),"",MIN(100,IF(T65&gt;=Reference!$B$9,Reference!$C$9,IF(T65&gt;=Reference!$B$8,Reference!$C$8,IF(T65&gt;=Reference!$B$7,Reference!$C$7,0)))+IF(U65&gt;=Reference!$B$12,Reference!$C$12,IF(U65&gt;=Reference!$B$11,Reference!$C$11,IF(U65&gt;=Reference!$B$10,Reference!$C$10,0)))+IF(W65&gt;=Reference!$B$13,Reference!$C$13,0)+IF(V65&gt;=Reference!$B$15,Reference!$C$15,IF(V65&gt;=Reference!$B$14,Reference!$C$14,0))))</f>
        <v>0</v>
      </c>
      <c r="Y65" s="12" t="str">
        <f>IF(X65="","",IF(X65&gt;=Reference!$B$6,"HIGH",IF(X65&gt;Reference!$B$5,"MODERATE","LOW")))</f>
        <v>LOW</v>
      </c>
    </row>
    <row r="66" ht="15" customHeight="1" spans="1:25">
      <c r="A66" s="20">
        <v>8</v>
      </c>
      <c r="B66" s="21" t="str">
        <f>INDEX(Participants!$B$6:$B$20,A66)</f>
        <v>Sanjana</v>
      </c>
      <c r="C66" s="20">
        <v>5</v>
      </c>
      <c r="D66" s="22">
        <v>0.3865625</v>
      </c>
      <c r="E66" s="8" t="s">
        <v>78</v>
      </c>
      <c r="F66" s="8">
        <v>99</v>
      </c>
      <c r="G66" s="8">
        <v>53</v>
      </c>
      <c r="H66" s="8">
        <v>43</v>
      </c>
      <c r="I66" s="10">
        <v>0.06</v>
      </c>
      <c r="J66" s="10">
        <v>0.01</v>
      </c>
      <c r="K66" s="10">
        <v>0.98</v>
      </c>
      <c r="L66" s="23">
        <v>14</v>
      </c>
      <c r="M66" s="23">
        <v>5.3</v>
      </c>
      <c r="N66" s="23">
        <v>6.7</v>
      </c>
      <c r="O66" s="23">
        <v>-10.8</v>
      </c>
      <c r="P66" s="23">
        <v>2.4</v>
      </c>
      <c r="Q66" s="8">
        <v>167</v>
      </c>
      <c r="R66" s="8">
        <v>7</v>
      </c>
      <c r="S66" s="8" t="s">
        <v>74</v>
      </c>
      <c r="T66" s="16">
        <f t="shared" si="0"/>
        <v>0.981885940422817</v>
      </c>
      <c r="U66" s="17">
        <f t="shared" si="1"/>
        <v>16.4006097447625</v>
      </c>
      <c r="V66" s="17">
        <f t="shared" si="2"/>
        <v>11.0634533487515</v>
      </c>
      <c r="W66" s="16">
        <f t="shared" si="10"/>
        <v>0.125814380061022</v>
      </c>
      <c r="X66" s="12">
        <f>IF(OR(T66="",U66="",V66=""),"",MIN(100,IF(T66&gt;=Reference!$B$9,Reference!$C$9,IF(T66&gt;=Reference!$B$8,Reference!$C$8,IF(T66&gt;=Reference!$B$7,Reference!$C$7,0)))+IF(U66&gt;=Reference!$B$12,Reference!$C$12,IF(U66&gt;=Reference!$B$11,Reference!$C$11,IF(U66&gt;=Reference!$B$10,Reference!$C$10,0)))+IF(W66&gt;=Reference!$B$13,Reference!$C$13,0)+IF(V66&gt;=Reference!$B$15,Reference!$C$15,IF(V66&gt;=Reference!$B$14,Reference!$C$14,0))))</f>
        <v>5</v>
      </c>
      <c r="Y66" s="12" t="str">
        <f>IF(X66="","",IF(X66&gt;=Reference!$B$6,"HIGH",IF(X66&gt;Reference!$B$5,"MODERATE","LOW")))</f>
        <v>LOW</v>
      </c>
    </row>
    <row r="67" ht="15" customHeight="1" spans="1:25">
      <c r="A67" s="20">
        <v>8</v>
      </c>
      <c r="B67" s="21" t="str">
        <f>INDEX(Participants!$B$6:$B$20,A67)</f>
        <v>Sanjana</v>
      </c>
      <c r="C67" s="20">
        <v>6</v>
      </c>
      <c r="D67" s="22">
        <v>0.386666666666667</v>
      </c>
      <c r="E67" s="8" t="s">
        <v>73</v>
      </c>
      <c r="F67" s="8">
        <v>389</v>
      </c>
      <c r="G67" s="8">
        <v>431</v>
      </c>
      <c r="H67" s="8">
        <v>2868</v>
      </c>
      <c r="I67" s="10">
        <v>0.11</v>
      </c>
      <c r="J67" s="10">
        <v>0.05</v>
      </c>
      <c r="K67" s="10">
        <v>1.04</v>
      </c>
      <c r="L67" s="23">
        <v>5.3</v>
      </c>
      <c r="M67" s="23">
        <v>1.1</v>
      </c>
      <c r="N67" s="23">
        <v>1.6</v>
      </c>
      <c r="O67" s="23">
        <v>3.4</v>
      </c>
      <c r="P67" s="23">
        <v>1.1</v>
      </c>
      <c r="Q67" s="8">
        <v>225</v>
      </c>
      <c r="R67" s="8">
        <v>7</v>
      </c>
      <c r="S67" s="8" t="s">
        <v>74</v>
      </c>
      <c r="T67" s="16">
        <f t="shared" si="0"/>
        <v>1.04699570199691</v>
      </c>
      <c r="U67" s="17">
        <f t="shared" si="1"/>
        <v>5.64446631666803</v>
      </c>
      <c r="V67" s="17">
        <f t="shared" si="2"/>
        <v>3.57351367704113</v>
      </c>
      <c r="W67" s="16">
        <f t="shared" si="10"/>
        <v>0.0651097615740919</v>
      </c>
      <c r="X67" s="12">
        <f>IF(OR(T67="",U67="",V67=""),"",MIN(100,IF(T67&gt;=Reference!$B$9,Reference!$C$9,IF(T67&gt;=Reference!$B$8,Reference!$C$8,IF(T67&gt;=Reference!$B$7,Reference!$C$7,0)))+IF(U67&gt;=Reference!$B$12,Reference!$C$12,IF(U67&gt;=Reference!$B$11,Reference!$C$11,IF(U67&gt;=Reference!$B$10,Reference!$C$10,0)))+IF(W67&gt;=Reference!$B$13,Reference!$C$13,0)+IF(V67&gt;=Reference!$B$15,Reference!$C$15,IF(V67&gt;=Reference!$B$14,Reference!$C$14,0))))</f>
        <v>0</v>
      </c>
      <c r="Y67" s="12" t="str">
        <f>IF(X67="","",IF(X67&gt;=Reference!$B$6,"HIGH",IF(X67&gt;Reference!$B$5,"MODERATE","LOW")))</f>
        <v>LOW</v>
      </c>
    </row>
    <row r="68" ht="15" customHeight="1" spans="1:25">
      <c r="A68" s="20">
        <v>8</v>
      </c>
      <c r="B68" s="21" t="str">
        <f>INDEX(Participants!$B$6:$B$20,A68)</f>
        <v>Sanjana</v>
      </c>
      <c r="C68" s="20">
        <v>7</v>
      </c>
      <c r="D68" s="22">
        <v>0.386724537037037</v>
      </c>
      <c r="E68" s="8" t="s">
        <v>75</v>
      </c>
      <c r="F68" s="8">
        <v>960</v>
      </c>
      <c r="G68" s="8">
        <v>1326</v>
      </c>
      <c r="H68" s="8">
        <v>2396</v>
      </c>
      <c r="I68" s="10">
        <v>0.01</v>
      </c>
      <c r="J68" s="10">
        <v>-0.03</v>
      </c>
      <c r="K68" s="10">
        <v>1</v>
      </c>
      <c r="L68" s="23">
        <v>2.1</v>
      </c>
      <c r="M68" s="23">
        <v>0.4</v>
      </c>
      <c r="N68" s="23">
        <v>1.1</v>
      </c>
      <c r="O68" s="23">
        <v>1.2</v>
      </c>
      <c r="P68" s="23">
        <v>0.7</v>
      </c>
      <c r="Q68" s="8">
        <v>237</v>
      </c>
      <c r="R68" s="8">
        <v>8</v>
      </c>
      <c r="S68" s="8" t="s">
        <v>74</v>
      </c>
      <c r="T68" s="16">
        <f t="shared" si="0"/>
        <v>1.00049987506246</v>
      </c>
      <c r="U68" s="17">
        <f t="shared" si="1"/>
        <v>2.40416305603426</v>
      </c>
      <c r="V68" s="17">
        <f t="shared" si="2"/>
        <v>1.38924439894498</v>
      </c>
      <c r="W68" s="16">
        <f t="shared" si="10"/>
        <v>0.046495826934448</v>
      </c>
      <c r="X68" s="12">
        <f>IF(OR(T68="",U68="",V68=""),"",MIN(100,IF(T68&gt;=Reference!$B$9,Reference!$C$9,IF(T68&gt;=Reference!$B$8,Reference!$C$8,IF(T68&gt;=Reference!$B$7,Reference!$C$7,0)))+IF(U68&gt;=Reference!$B$12,Reference!$C$12,IF(U68&gt;=Reference!$B$11,Reference!$C$11,IF(U68&gt;=Reference!$B$10,Reference!$C$10,0)))+IF(W68&gt;=Reference!$B$13,Reference!$C$13,0)+IF(V68&gt;=Reference!$B$15,Reference!$C$15,IF(V68&gt;=Reference!$B$14,Reference!$C$14,0))))</f>
        <v>0</v>
      </c>
      <c r="Y68" s="12" t="str">
        <f>IF(X68="","",IF(X68&gt;=Reference!$B$6,"HIGH",IF(X68&gt;Reference!$B$5,"MODERATE","LOW")))</f>
        <v>LOW</v>
      </c>
    </row>
    <row r="69" ht="15" customHeight="1" spans="1:25">
      <c r="A69" s="24">
        <v>8</v>
      </c>
      <c r="B69" s="25" t="str">
        <f>INDEX(Participants!$B$6:$B$20,A69)</f>
        <v>Sanjana</v>
      </c>
      <c r="C69" s="24">
        <v>8</v>
      </c>
      <c r="D69" s="26">
        <v>0.386851851851852</v>
      </c>
      <c r="E69" s="27" t="s">
        <v>77</v>
      </c>
      <c r="F69" s="27">
        <v>3059</v>
      </c>
      <c r="G69" s="27">
        <v>1044</v>
      </c>
      <c r="H69" s="27">
        <v>253</v>
      </c>
      <c r="I69" s="28">
        <v>-0.1</v>
      </c>
      <c r="J69" s="28">
        <v>0.07</v>
      </c>
      <c r="K69" s="28">
        <v>1.09</v>
      </c>
      <c r="L69" s="29">
        <v>10.2</v>
      </c>
      <c r="M69" s="29">
        <v>3.1</v>
      </c>
      <c r="N69" s="29">
        <v>3.1</v>
      </c>
      <c r="O69" s="29">
        <v>-6.4</v>
      </c>
      <c r="P69" s="29">
        <v>2.1</v>
      </c>
      <c r="Q69" s="27">
        <v>215</v>
      </c>
      <c r="R69" s="27">
        <v>6</v>
      </c>
      <c r="S69" s="27" t="s">
        <v>74</v>
      </c>
      <c r="T69" s="30">
        <f t="shared" si="0"/>
        <v>1.0968135666557</v>
      </c>
      <c r="U69" s="31">
        <f t="shared" si="1"/>
        <v>11.1022520238013</v>
      </c>
      <c r="V69" s="31">
        <f t="shared" si="2"/>
        <v>6.73572564761956</v>
      </c>
      <c r="W69" s="30">
        <f t="shared" si="10"/>
        <v>0.0963136915932401</v>
      </c>
      <c r="X69" s="32">
        <f>IF(OR(T69="",U69="",V69=""),"",MIN(100,IF(T69&gt;=Reference!$B$9,Reference!$C$9,IF(T69&gt;=Reference!$B$8,Reference!$C$8,IF(T69&gt;=Reference!$B$7,Reference!$C$7,0)))+IF(U69&gt;=Reference!$B$12,Reference!$C$12,IF(U69&gt;=Reference!$B$11,Reference!$C$11,IF(U69&gt;=Reference!$B$10,Reference!$C$10,0)))+IF(W69&gt;=Reference!$B$13,Reference!$C$13,0)+IF(V69&gt;=Reference!$B$15,Reference!$C$15,IF(V69&gt;=Reference!$B$14,Reference!$C$14,0))))</f>
        <v>0</v>
      </c>
      <c r="Y69" s="32" t="str">
        <f>IF(X69="","",IF(X69&gt;=Reference!$B$6,"HIGH",IF(X69&gt;Reference!$B$5,"MODERATE","LOW")))</f>
        <v>LOW</v>
      </c>
    </row>
    <row r="70" ht="15" customHeight="1" spans="1:25">
      <c r="A70" s="20">
        <v>9</v>
      </c>
      <c r="B70" s="21" t="str">
        <f>INDEX(Participants!$B$6:$B$20,A70)</f>
        <v>Aniket</v>
      </c>
      <c r="C70" s="20">
        <v>1</v>
      </c>
      <c r="D70" s="22">
        <v>0.435289351851852</v>
      </c>
      <c r="E70" s="8" t="s">
        <v>88</v>
      </c>
      <c r="F70" s="8">
        <v>186</v>
      </c>
      <c r="G70" s="8">
        <v>150</v>
      </c>
      <c r="H70" s="8">
        <v>259</v>
      </c>
      <c r="I70" s="10">
        <v>-0.01</v>
      </c>
      <c r="J70" s="10">
        <v>0.01</v>
      </c>
      <c r="K70" s="10">
        <v>1</v>
      </c>
      <c r="L70" s="23">
        <v>-0.3</v>
      </c>
      <c r="M70" s="23">
        <v>0</v>
      </c>
      <c r="N70" s="23">
        <v>0.2</v>
      </c>
      <c r="O70" s="23">
        <v>13.8</v>
      </c>
      <c r="P70" s="23">
        <v>2.7</v>
      </c>
      <c r="Q70" s="8">
        <v>44</v>
      </c>
      <c r="R70" s="8">
        <v>0</v>
      </c>
      <c r="S70" s="8" t="s">
        <v>81</v>
      </c>
      <c r="T70" s="16">
        <f t="shared" ref="T70:T125" si="11">IF(COUNT(I70:K70)&lt;3,"",SQRT(I70^2+J70^2+K70^2))</f>
        <v>1.0000999950005</v>
      </c>
      <c r="U70" s="17">
        <f t="shared" ref="U70:U125" si="12">IF(COUNT(L70:N70)&lt;3,"",SQRT(L70^2+M70^2+N70^2))</f>
        <v>0.360555127546399</v>
      </c>
      <c r="V70" s="17">
        <f t="shared" ref="V70:V125" si="13">IF(COUNT(O70:P70)&lt;2,"",SQRT(O70^2+P70^2))</f>
        <v>14.0616499743096</v>
      </c>
      <c r="W70" s="16">
        <f>IF(T70="","",0)</f>
        <v>0</v>
      </c>
      <c r="X70" s="12">
        <f>IF(OR(T70="",U70="",V70=""),"",MIN(100,IF(T70&gt;=Reference!$B$9,Reference!$C$9,IF(T70&gt;=Reference!$B$8,Reference!$C$8,IF(T70&gt;=Reference!$B$7,Reference!$C$7,0)))+IF(U70&gt;=Reference!$B$12,Reference!$C$12,IF(U70&gt;=Reference!$B$11,Reference!$C$11,IF(U70&gt;=Reference!$B$10,Reference!$C$10,0)))+IF(W70&gt;=Reference!$B$13,Reference!$C$13,0)+IF(V70&gt;=Reference!$B$15,Reference!$C$15,IF(V70&gt;=Reference!$B$14,Reference!$C$14,0))))</f>
        <v>5</v>
      </c>
      <c r="Y70" s="12" t="str">
        <f>IF(X70="","",IF(X70&gt;=Reference!$B$6,"HIGH",IF(X70&gt;Reference!$B$5,"MODERATE","LOW")))</f>
        <v>LOW</v>
      </c>
    </row>
    <row r="71" ht="15" customHeight="1" spans="1:25">
      <c r="A71" s="20">
        <v>9</v>
      </c>
      <c r="B71" s="21" t="str">
        <f>INDEX(Participants!$B$6:$B$20,A71)</f>
        <v>Aniket</v>
      </c>
      <c r="C71" s="20">
        <v>2</v>
      </c>
      <c r="D71" s="22">
        <v>0.435462962962963</v>
      </c>
      <c r="E71" s="8" t="s">
        <v>88</v>
      </c>
      <c r="F71" s="8">
        <v>172</v>
      </c>
      <c r="G71" s="8">
        <v>130</v>
      </c>
      <c r="H71" s="8">
        <v>240</v>
      </c>
      <c r="I71" s="10">
        <v>0.01</v>
      </c>
      <c r="J71" s="10">
        <v>0.03</v>
      </c>
      <c r="K71" s="10">
        <v>0.99</v>
      </c>
      <c r="L71" s="23">
        <v>0.6</v>
      </c>
      <c r="M71" s="23">
        <v>0.2</v>
      </c>
      <c r="N71" s="23">
        <v>0</v>
      </c>
      <c r="O71" s="23">
        <v>10.8</v>
      </c>
      <c r="P71" s="23">
        <v>3.3</v>
      </c>
      <c r="Q71" s="8">
        <v>49</v>
      </c>
      <c r="R71" s="8">
        <v>0</v>
      </c>
      <c r="S71" s="8" t="s">
        <v>81</v>
      </c>
      <c r="T71" s="16">
        <f t="shared" si="11"/>
        <v>0.990504921744461</v>
      </c>
      <c r="U71" s="17">
        <f t="shared" si="12"/>
        <v>0.632455532033676</v>
      </c>
      <c r="V71" s="17">
        <f t="shared" si="13"/>
        <v>11.2929181348312</v>
      </c>
      <c r="W71" s="16">
        <f t="shared" ref="W71:W77" si="14">IF(T71="","",IF(T70="",0,ABS(T71-T70)))</f>
        <v>0.00959507325603925</v>
      </c>
      <c r="X71" s="12">
        <f>IF(OR(T71="",U71="",V71=""),"",MIN(100,IF(T71&gt;=Reference!$B$9,Reference!$C$9,IF(T71&gt;=Reference!$B$8,Reference!$C$8,IF(T71&gt;=Reference!$B$7,Reference!$C$7,0)))+IF(U71&gt;=Reference!$B$12,Reference!$C$12,IF(U71&gt;=Reference!$B$11,Reference!$C$11,IF(U71&gt;=Reference!$B$10,Reference!$C$10,0)))+IF(W71&gt;=Reference!$B$13,Reference!$C$13,0)+IF(V71&gt;=Reference!$B$15,Reference!$C$15,IF(V71&gt;=Reference!$B$14,Reference!$C$14,0))))</f>
        <v>5</v>
      </c>
      <c r="Y71" s="12" t="str">
        <f>IF(X71="","",IF(X71&gt;=Reference!$B$6,"HIGH",IF(X71&gt;Reference!$B$5,"MODERATE","LOW")))</f>
        <v>LOW</v>
      </c>
    </row>
    <row r="72" ht="15" customHeight="1" spans="1:25">
      <c r="A72" s="20">
        <v>9</v>
      </c>
      <c r="B72" s="21" t="str">
        <f>INDEX(Participants!$B$6:$B$20,A72)</f>
        <v>Aniket</v>
      </c>
      <c r="C72" s="20">
        <v>3</v>
      </c>
      <c r="D72" s="22">
        <v>0.435706018518519</v>
      </c>
      <c r="E72" s="8" t="s">
        <v>88</v>
      </c>
      <c r="F72" s="8">
        <v>214</v>
      </c>
      <c r="G72" s="8">
        <v>133</v>
      </c>
      <c r="H72" s="8">
        <v>308</v>
      </c>
      <c r="I72" s="10">
        <v>0</v>
      </c>
      <c r="J72" s="10">
        <v>0.03</v>
      </c>
      <c r="K72" s="10">
        <v>1</v>
      </c>
      <c r="L72" s="23">
        <v>1.2</v>
      </c>
      <c r="M72" s="23">
        <v>0.1</v>
      </c>
      <c r="N72" s="23">
        <v>0</v>
      </c>
      <c r="O72" s="23">
        <v>13.9</v>
      </c>
      <c r="P72" s="23">
        <v>3.1</v>
      </c>
      <c r="Q72" s="8">
        <v>49</v>
      </c>
      <c r="R72" s="8">
        <v>0</v>
      </c>
      <c r="S72" s="8" t="s">
        <v>81</v>
      </c>
      <c r="T72" s="16">
        <f t="shared" si="11"/>
        <v>1.00044989879554</v>
      </c>
      <c r="U72" s="17">
        <f t="shared" si="12"/>
        <v>1.20415945787923</v>
      </c>
      <c r="V72" s="17">
        <f t="shared" si="13"/>
        <v>14.2414886862294</v>
      </c>
      <c r="W72" s="16">
        <f t="shared" si="14"/>
        <v>0.00994497705107622</v>
      </c>
      <c r="X72" s="12">
        <f>IF(OR(T72="",U72="",V72=""),"",MIN(100,IF(T72&gt;=Reference!$B$9,Reference!$C$9,IF(T72&gt;=Reference!$B$8,Reference!$C$8,IF(T72&gt;=Reference!$B$7,Reference!$C$7,0)))+IF(U72&gt;=Reference!$B$12,Reference!$C$12,IF(U72&gt;=Reference!$B$11,Reference!$C$11,IF(U72&gt;=Reference!$B$10,Reference!$C$10,0)))+IF(W72&gt;=Reference!$B$13,Reference!$C$13,0)+IF(V72&gt;=Reference!$B$15,Reference!$C$15,IF(V72&gt;=Reference!$B$14,Reference!$C$14,0))))</f>
        <v>5</v>
      </c>
      <c r="Y72" s="12" t="str">
        <f>IF(X72="","",IF(X72&gt;=Reference!$B$6,"HIGH",IF(X72&gt;Reference!$B$5,"MODERATE","LOW")))</f>
        <v>LOW</v>
      </c>
    </row>
    <row r="73" ht="15" customHeight="1" spans="1:25">
      <c r="A73" s="20">
        <v>9</v>
      </c>
      <c r="B73" s="21" t="str">
        <f>INDEX(Participants!$B$6:$B$20,A73)</f>
        <v>Aniket</v>
      </c>
      <c r="C73" s="20">
        <v>4</v>
      </c>
      <c r="D73" s="22">
        <v>0.435914351851852</v>
      </c>
      <c r="E73" s="8" t="s">
        <v>89</v>
      </c>
      <c r="F73" s="8">
        <v>387</v>
      </c>
      <c r="G73" s="8">
        <v>277</v>
      </c>
      <c r="H73" s="8">
        <v>336</v>
      </c>
      <c r="I73" s="10">
        <v>0.05</v>
      </c>
      <c r="J73" s="10">
        <v>0.02</v>
      </c>
      <c r="K73" s="10">
        <v>1.01</v>
      </c>
      <c r="L73" s="23">
        <v>3.2</v>
      </c>
      <c r="M73" s="23">
        <v>1.5</v>
      </c>
      <c r="N73" s="23">
        <v>1.5</v>
      </c>
      <c r="O73" s="23">
        <v>9.8</v>
      </c>
      <c r="P73" s="23">
        <v>3.4</v>
      </c>
      <c r="Q73" s="8">
        <v>65</v>
      </c>
      <c r="R73" s="8">
        <v>0</v>
      </c>
      <c r="S73" s="8" t="s">
        <v>81</v>
      </c>
      <c r="T73" s="16">
        <f t="shared" si="11"/>
        <v>1.01143462467922</v>
      </c>
      <c r="U73" s="17">
        <f t="shared" si="12"/>
        <v>3.83927076409049</v>
      </c>
      <c r="V73" s="17">
        <f t="shared" si="13"/>
        <v>10.373041983912</v>
      </c>
      <c r="W73" s="16">
        <f t="shared" si="14"/>
        <v>0.0109847258836857</v>
      </c>
      <c r="X73" s="12">
        <f>IF(OR(T73="",U73="",V73=""),"",MIN(100,IF(T73&gt;=Reference!$B$9,Reference!$C$9,IF(T73&gt;=Reference!$B$8,Reference!$C$8,IF(T73&gt;=Reference!$B$7,Reference!$C$7,0)))+IF(U73&gt;=Reference!$B$12,Reference!$C$12,IF(U73&gt;=Reference!$B$11,Reference!$C$11,IF(U73&gt;=Reference!$B$10,Reference!$C$10,0)))+IF(W73&gt;=Reference!$B$13,Reference!$C$13,0)+IF(V73&gt;=Reference!$B$15,Reference!$C$15,IF(V73&gt;=Reference!$B$14,Reference!$C$14,0))))</f>
        <v>5</v>
      </c>
      <c r="Y73" s="12" t="str">
        <f>IF(X73="","",IF(X73&gt;=Reference!$B$6,"HIGH",IF(X73&gt;Reference!$B$5,"MODERATE","LOW")))</f>
        <v>LOW</v>
      </c>
    </row>
    <row r="74" ht="15" customHeight="1" spans="1:25">
      <c r="A74" s="20">
        <v>9</v>
      </c>
      <c r="B74" s="21" t="str">
        <f>INDEX(Participants!$B$6:$B$20,A74)</f>
        <v>Aniket</v>
      </c>
      <c r="C74" s="20">
        <v>5</v>
      </c>
      <c r="D74" s="22">
        <v>0.436203703703704</v>
      </c>
      <c r="E74" s="8" t="s">
        <v>88</v>
      </c>
      <c r="F74" s="8">
        <v>184</v>
      </c>
      <c r="G74" s="8">
        <v>138</v>
      </c>
      <c r="H74" s="8">
        <v>223</v>
      </c>
      <c r="I74" s="10">
        <v>0</v>
      </c>
      <c r="J74" s="10">
        <v>0.03</v>
      </c>
      <c r="K74" s="10">
        <v>1.02</v>
      </c>
      <c r="L74" s="23">
        <v>0.2</v>
      </c>
      <c r="M74" s="23">
        <v>-0.1</v>
      </c>
      <c r="N74" s="23">
        <v>-0.9</v>
      </c>
      <c r="O74" s="23">
        <v>12.4</v>
      </c>
      <c r="P74" s="23">
        <v>2.7</v>
      </c>
      <c r="Q74" s="8">
        <v>72</v>
      </c>
      <c r="R74" s="8">
        <v>0</v>
      </c>
      <c r="S74" s="8" t="s">
        <v>81</v>
      </c>
      <c r="T74" s="16">
        <f t="shared" si="11"/>
        <v>1.0204410811017</v>
      </c>
      <c r="U74" s="17">
        <f t="shared" si="12"/>
        <v>0.92736184954957</v>
      </c>
      <c r="V74" s="17">
        <f t="shared" si="13"/>
        <v>12.6905476635171</v>
      </c>
      <c r="W74" s="16">
        <f t="shared" si="14"/>
        <v>0.00900645642247433</v>
      </c>
      <c r="X74" s="12">
        <f>IF(OR(T74="",U74="",V74=""),"",MIN(100,IF(T74&gt;=Reference!$B$9,Reference!$C$9,IF(T74&gt;=Reference!$B$8,Reference!$C$8,IF(T74&gt;=Reference!$B$7,Reference!$C$7,0)))+IF(U74&gt;=Reference!$B$12,Reference!$C$12,IF(U74&gt;=Reference!$B$11,Reference!$C$11,IF(U74&gt;=Reference!$B$10,Reference!$C$10,0)))+IF(W74&gt;=Reference!$B$13,Reference!$C$13,0)+IF(V74&gt;=Reference!$B$15,Reference!$C$15,IF(V74&gt;=Reference!$B$14,Reference!$C$14,0))))</f>
        <v>5</v>
      </c>
      <c r="Y74" s="12" t="str">
        <f>IF(X74="","",IF(X74&gt;=Reference!$B$6,"HIGH",IF(X74&gt;Reference!$B$5,"MODERATE","LOW")))</f>
        <v>LOW</v>
      </c>
    </row>
    <row r="75" ht="15" customHeight="1" spans="1:25">
      <c r="A75" s="20">
        <v>9</v>
      </c>
      <c r="B75" s="21" t="str">
        <f>INDEX(Participants!$B$6:$B$20,A75)</f>
        <v>Aniket</v>
      </c>
      <c r="C75" s="20">
        <v>6</v>
      </c>
      <c r="D75" s="22">
        <v>0.436435185185185</v>
      </c>
      <c r="E75" s="8" t="s">
        <v>88</v>
      </c>
      <c r="F75" s="8">
        <v>210</v>
      </c>
      <c r="G75" s="8">
        <v>151</v>
      </c>
      <c r="H75" s="8">
        <v>274</v>
      </c>
      <c r="I75" s="10">
        <v>0</v>
      </c>
      <c r="J75" s="10">
        <v>-0.01</v>
      </c>
      <c r="K75" s="10">
        <v>1</v>
      </c>
      <c r="L75" s="23">
        <v>0.3</v>
      </c>
      <c r="M75" s="23">
        <v>0.8</v>
      </c>
      <c r="N75" s="23">
        <v>0.1</v>
      </c>
      <c r="O75" s="23">
        <v>12.3</v>
      </c>
      <c r="P75" s="23">
        <v>2.8</v>
      </c>
      <c r="Q75" s="8">
        <v>61</v>
      </c>
      <c r="R75" s="8">
        <v>0</v>
      </c>
      <c r="S75" s="8" t="s">
        <v>81</v>
      </c>
      <c r="T75" s="16">
        <f t="shared" si="11"/>
        <v>1.00004999875006</v>
      </c>
      <c r="U75" s="17">
        <f t="shared" si="12"/>
        <v>0.860232526704263</v>
      </c>
      <c r="V75" s="17">
        <f t="shared" si="13"/>
        <v>12.6146739949949</v>
      </c>
      <c r="W75" s="16">
        <f t="shared" si="14"/>
        <v>0.0203910823516344</v>
      </c>
      <c r="X75" s="12">
        <f>IF(OR(T75="",U75="",V75=""),"",MIN(100,IF(T75&gt;=Reference!$B$9,Reference!$C$9,IF(T75&gt;=Reference!$B$8,Reference!$C$8,IF(T75&gt;=Reference!$B$7,Reference!$C$7,0)))+IF(U75&gt;=Reference!$B$12,Reference!$C$12,IF(U75&gt;=Reference!$B$11,Reference!$C$11,IF(U75&gt;=Reference!$B$10,Reference!$C$10,0)))+IF(W75&gt;=Reference!$B$13,Reference!$C$13,0)+IF(V75&gt;=Reference!$B$15,Reference!$C$15,IF(V75&gt;=Reference!$B$14,Reference!$C$14,0))))</f>
        <v>5</v>
      </c>
      <c r="Y75" s="12" t="str">
        <f>IF(X75="","",IF(X75&gt;=Reference!$B$6,"HIGH",IF(X75&gt;Reference!$B$5,"MODERATE","LOW")))</f>
        <v>LOW</v>
      </c>
    </row>
    <row r="76" ht="15" customHeight="1" spans="1:25">
      <c r="A76" s="20">
        <v>9</v>
      </c>
      <c r="B76" s="21" t="str">
        <f>INDEX(Participants!$B$6:$B$20,A76)</f>
        <v>Aniket</v>
      </c>
      <c r="C76" s="20">
        <v>7</v>
      </c>
      <c r="D76" s="22">
        <v>0.436631944444444</v>
      </c>
      <c r="E76" s="8" t="s">
        <v>88</v>
      </c>
      <c r="F76" s="8">
        <v>186</v>
      </c>
      <c r="G76" s="8">
        <v>133</v>
      </c>
      <c r="H76" s="8">
        <v>242</v>
      </c>
      <c r="I76" s="10">
        <v>0.01</v>
      </c>
      <c r="J76" s="10">
        <v>0.02</v>
      </c>
      <c r="K76" s="10">
        <v>1.02</v>
      </c>
      <c r="L76" s="23">
        <v>0.4</v>
      </c>
      <c r="M76" s="23">
        <v>-0.1</v>
      </c>
      <c r="N76" s="23">
        <v>-0.1</v>
      </c>
      <c r="O76" s="23">
        <v>13.7</v>
      </c>
      <c r="P76" s="23">
        <v>3.3</v>
      </c>
      <c r="Q76" s="8">
        <v>58</v>
      </c>
      <c r="R76" s="8">
        <v>0</v>
      </c>
      <c r="S76" s="8" t="s">
        <v>81</v>
      </c>
      <c r="T76" s="16">
        <f t="shared" si="11"/>
        <v>1.02024506859872</v>
      </c>
      <c r="U76" s="17">
        <f t="shared" si="12"/>
        <v>0.424264068711929</v>
      </c>
      <c r="V76" s="17">
        <f t="shared" si="13"/>
        <v>14.0918416113722</v>
      </c>
      <c r="W76" s="16">
        <f t="shared" si="14"/>
        <v>0.0201950698486542</v>
      </c>
      <c r="X76" s="12">
        <f>IF(OR(T76="",U76="",V76=""),"",MIN(100,IF(T76&gt;=Reference!$B$9,Reference!$C$9,IF(T76&gt;=Reference!$B$8,Reference!$C$8,IF(T76&gt;=Reference!$B$7,Reference!$C$7,0)))+IF(U76&gt;=Reference!$B$12,Reference!$C$12,IF(U76&gt;=Reference!$B$11,Reference!$C$11,IF(U76&gt;=Reference!$B$10,Reference!$C$10,0)))+IF(W76&gt;=Reference!$B$13,Reference!$C$13,0)+IF(V76&gt;=Reference!$B$15,Reference!$C$15,IF(V76&gt;=Reference!$B$14,Reference!$C$14,0))))</f>
        <v>5</v>
      </c>
      <c r="Y76" s="12" t="str">
        <f>IF(X76="","",IF(X76&gt;=Reference!$B$6,"HIGH",IF(X76&gt;Reference!$B$5,"MODERATE","LOW")))</f>
        <v>LOW</v>
      </c>
    </row>
    <row r="77" ht="15" customHeight="1" spans="1:25">
      <c r="A77" s="24">
        <v>9</v>
      </c>
      <c r="B77" s="25" t="str">
        <f>INDEX(Participants!$B$6:$B$20,A77)</f>
        <v>Aniket</v>
      </c>
      <c r="C77" s="24">
        <v>8</v>
      </c>
      <c r="D77" s="26">
        <v>0.436875</v>
      </c>
      <c r="E77" s="27" t="s">
        <v>88</v>
      </c>
      <c r="F77" s="27">
        <v>216</v>
      </c>
      <c r="G77" s="27">
        <v>124</v>
      </c>
      <c r="H77" s="27">
        <v>283</v>
      </c>
      <c r="I77" s="28">
        <v>0.01</v>
      </c>
      <c r="J77" s="28">
        <v>0</v>
      </c>
      <c r="K77" s="28">
        <v>1</v>
      </c>
      <c r="L77" s="29">
        <v>0.3</v>
      </c>
      <c r="M77" s="29">
        <v>1.2</v>
      </c>
      <c r="N77" s="29">
        <v>-0.4</v>
      </c>
      <c r="O77" s="29">
        <v>13.2</v>
      </c>
      <c r="P77" s="29">
        <v>2.9</v>
      </c>
      <c r="Q77" s="27">
        <v>50</v>
      </c>
      <c r="R77" s="27">
        <v>0</v>
      </c>
      <c r="S77" s="27" t="s">
        <v>81</v>
      </c>
      <c r="T77" s="30">
        <f t="shared" si="11"/>
        <v>1.00004999875006</v>
      </c>
      <c r="U77" s="31">
        <f t="shared" si="12"/>
        <v>1.3</v>
      </c>
      <c r="V77" s="31">
        <f t="shared" si="13"/>
        <v>13.514806694881</v>
      </c>
      <c r="W77" s="30">
        <f t="shared" si="14"/>
        <v>0.0201950698486542</v>
      </c>
      <c r="X77" s="32">
        <f>IF(OR(T77="",U77="",V77=""),"",MIN(100,IF(T77&gt;=Reference!$B$9,Reference!$C$9,IF(T77&gt;=Reference!$B$8,Reference!$C$8,IF(T77&gt;=Reference!$B$7,Reference!$C$7,0)))+IF(U77&gt;=Reference!$B$12,Reference!$C$12,IF(U77&gt;=Reference!$B$11,Reference!$C$11,IF(U77&gt;=Reference!$B$10,Reference!$C$10,0)))+IF(W77&gt;=Reference!$B$13,Reference!$C$13,0)+IF(V77&gt;=Reference!$B$15,Reference!$C$15,IF(V77&gt;=Reference!$B$14,Reference!$C$14,0))))</f>
        <v>5</v>
      </c>
      <c r="Y77" s="32" t="str">
        <f>IF(X77="","",IF(X77&gt;=Reference!$B$6,"HIGH",IF(X77&gt;Reference!$B$5,"MODERATE","LOW")))</f>
        <v>LOW</v>
      </c>
    </row>
    <row r="78" ht="15" customHeight="1" spans="1:25">
      <c r="A78" s="20">
        <v>10</v>
      </c>
      <c r="B78" s="21" t="str">
        <f>INDEX(Participants!$B$6:$B$20,A78)</f>
        <v>Raghav Garg</v>
      </c>
      <c r="C78" s="20">
        <v>1</v>
      </c>
      <c r="D78" s="22">
        <v>0.377766203703704</v>
      </c>
      <c r="E78" s="8" t="s">
        <v>73</v>
      </c>
      <c r="F78" s="8">
        <v>276</v>
      </c>
      <c r="G78" s="8">
        <v>460</v>
      </c>
      <c r="H78" s="8">
        <v>2991</v>
      </c>
      <c r="I78" s="10">
        <v>0.1</v>
      </c>
      <c r="J78" s="10">
        <v>0.04</v>
      </c>
      <c r="K78" s="10">
        <v>1.04</v>
      </c>
      <c r="L78" s="23">
        <v>4.2</v>
      </c>
      <c r="M78" s="23">
        <v>0.9</v>
      </c>
      <c r="N78" s="23">
        <v>1.4</v>
      </c>
      <c r="O78" s="23">
        <v>3.2</v>
      </c>
      <c r="P78" s="23">
        <v>1.3</v>
      </c>
      <c r="Q78" s="8">
        <v>236</v>
      </c>
      <c r="R78" s="8">
        <v>8</v>
      </c>
      <c r="S78" s="8" t="s">
        <v>74</v>
      </c>
      <c r="T78" s="16">
        <f t="shared" si="11"/>
        <v>1.04556204980862</v>
      </c>
      <c r="U78" s="17">
        <f t="shared" si="12"/>
        <v>4.51774279923061</v>
      </c>
      <c r="V78" s="17">
        <f t="shared" si="13"/>
        <v>3.45398320783411</v>
      </c>
      <c r="W78" s="16">
        <f>IF(T78="","",0)</f>
        <v>0</v>
      </c>
      <c r="X78" s="12">
        <f>IF(OR(T78="",U78="",V78=""),"",MIN(100,IF(T78&gt;=Reference!$B$9,Reference!$C$9,IF(T78&gt;=Reference!$B$8,Reference!$C$8,IF(T78&gt;=Reference!$B$7,Reference!$C$7,0)))+IF(U78&gt;=Reference!$B$12,Reference!$C$12,IF(U78&gt;=Reference!$B$11,Reference!$C$11,IF(U78&gt;=Reference!$B$10,Reference!$C$10,0)))+IF(W78&gt;=Reference!$B$13,Reference!$C$13,0)+IF(V78&gt;=Reference!$B$15,Reference!$C$15,IF(V78&gt;=Reference!$B$14,Reference!$C$14,0))))</f>
        <v>0</v>
      </c>
      <c r="Y78" s="12" t="str">
        <f>IF(X78="","",IF(X78&gt;=Reference!$B$6,"HIGH",IF(X78&gt;Reference!$B$5,"MODERATE","LOW")))</f>
        <v>LOW</v>
      </c>
    </row>
    <row r="79" ht="15" customHeight="1" spans="1:25">
      <c r="A79" s="20">
        <v>10</v>
      </c>
      <c r="B79" s="21" t="str">
        <f>INDEX(Participants!$B$6:$B$20,A79)</f>
        <v>Raghav Garg</v>
      </c>
      <c r="C79" s="20">
        <v>2</v>
      </c>
      <c r="D79" s="22">
        <v>0.37787037037037</v>
      </c>
      <c r="E79" s="8" t="s">
        <v>75</v>
      </c>
      <c r="F79" s="8">
        <v>1081</v>
      </c>
      <c r="G79" s="8">
        <v>1690</v>
      </c>
      <c r="H79" s="8">
        <v>2093</v>
      </c>
      <c r="I79" s="10">
        <v>0.05</v>
      </c>
      <c r="J79" s="10">
        <v>-0.05</v>
      </c>
      <c r="K79" s="10">
        <v>0.99</v>
      </c>
      <c r="L79" s="23">
        <v>3.4</v>
      </c>
      <c r="M79" s="23">
        <v>0.1</v>
      </c>
      <c r="N79" s="23">
        <v>1.3</v>
      </c>
      <c r="O79" s="23">
        <v>1.5</v>
      </c>
      <c r="P79" s="23">
        <v>0.9</v>
      </c>
      <c r="Q79" s="8">
        <v>184</v>
      </c>
      <c r="R79" s="8">
        <v>6</v>
      </c>
      <c r="S79" s="8" t="s">
        <v>74</v>
      </c>
      <c r="T79" s="16">
        <f t="shared" si="11"/>
        <v>0.99252204005755</v>
      </c>
      <c r="U79" s="17">
        <f t="shared" si="12"/>
        <v>3.64142829120662</v>
      </c>
      <c r="V79" s="17">
        <f t="shared" si="13"/>
        <v>1.74928556845359</v>
      </c>
      <c r="W79" s="16">
        <f t="shared" ref="W79:W85" si="15">IF(T79="","",IF(T78="",0,ABS(T79-T78)))</f>
        <v>0.0530400097510692</v>
      </c>
      <c r="X79" s="12">
        <f>IF(OR(T79="",U79="",V79=""),"",MIN(100,IF(T79&gt;=Reference!$B$9,Reference!$C$9,IF(T79&gt;=Reference!$B$8,Reference!$C$8,IF(T79&gt;=Reference!$B$7,Reference!$C$7,0)))+IF(U79&gt;=Reference!$B$12,Reference!$C$12,IF(U79&gt;=Reference!$B$11,Reference!$C$11,IF(U79&gt;=Reference!$B$10,Reference!$C$10,0)))+IF(W79&gt;=Reference!$B$13,Reference!$C$13,0)+IF(V79&gt;=Reference!$B$15,Reference!$C$15,IF(V79&gt;=Reference!$B$14,Reference!$C$14,0))))</f>
        <v>0</v>
      </c>
      <c r="Y79" s="12" t="str">
        <f>IF(X79="","",IF(X79&gt;=Reference!$B$6,"HIGH",IF(X79&gt;Reference!$B$5,"MODERATE","LOW")))</f>
        <v>LOW</v>
      </c>
    </row>
    <row r="80" ht="15" customHeight="1" spans="1:25">
      <c r="A80" s="20">
        <v>10</v>
      </c>
      <c r="B80" s="21" t="str">
        <f>INDEX(Participants!$B$6:$B$20,A80)</f>
        <v>Raghav Garg</v>
      </c>
      <c r="C80" s="20">
        <v>3</v>
      </c>
      <c r="D80" s="22">
        <v>0.377928240740741</v>
      </c>
      <c r="E80" s="8" t="s">
        <v>76</v>
      </c>
      <c r="F80" s="8">
        <v>1887</v>
      </c>
      <c r="G80" s="8">
        <v>1763</v>
      </c>
      <c r="H80" s="8">
        <v>1116</v>
      </c>
      <c r="I80" s="10">
        <v>0.01</v>
      </c>
      <c r="J80" s="10">
        <v>0.03</v>
      </c>
      <c r="K80" s="10">
        <v>1.07</v>
      </c>
      <c r="L80" s="23">
        <v>2.2</v>
      </c>
      <c r="M80" s="23">
        <v>-0.6</v>
      </c>
      <c r="N80" s="23">
        <v>0.7</v>
      </c>
      <c r="O80" s="23">
        <v>0.9</v>
      </c>
      <c r="P80" s="23">
        <v>0.5</v>
      </c>
      <c r="Q80" s="8">
        <v>189</v>
      </c>
      <c r="R80" s="8">
        <v>6</v>
      </c>
      <c r="S80" s="8" t="s">
        <v>74</v>
      </c>
      <c r="T80" s="16">
        <f t="shared" si="11"/>
        <v>1.07046718772693</v>
      </c>
      <c r="U80" s="17">
        <f t="shared" si="12"/>
        <v>2.38537208837531</v>
      </c>
      <c r="V80" s="17">
        <f t="shared" si="13"/>
        <v>1.0295630140987</v>
      </c>
      <c r="W80" s="16">
        <f t="shared" si="15"/>
        <v>0.0779451476693794</v>
      </c>
      <c r="X80" s="12">
        <f>IF(OR(T80="",U80="",V80=""),"",MIN(100,IF(T80&gt;=Reference!$B$9,Reference!$C$9,IF(T80&gt;=Reference!$B$8,Reference!$C$8,IF(T80&gt;=Reference!$B$7,Reference!$C$7,0)))+IF(U80&gt;=Reference!$B$12,Reference!$C$12,IF(U80&gt;=Reference!$B$11,Reference!$C$11,IF(U80&gt;=Reference!$B$10,Reference!$C$10,0)))+IF(W80&gt;=Reference!$B$13,Reference!$C$13,0)+IF(V80&gt;=Reference!$B$15,Reference!$C$15,IF(V80&gt;=Reference!$B$14,Reference!$C$14,0))))</f>
        <v>0</v>
      </c>
      <c r="Y80" s="12" t="str">
        <f>IF(X80="","",IF(X80&gt;=Reference!$B$6,"HIGH",IF(X80&gt;Reference!$B$5,"MODERATE","LOW")))</f>
        <v>LOW</v>
      </c>
    </row>
    <row r="81" ht="15" customHeight="1" spans="1:25">
      <c r="A81" s="20">
        <v>10</v>
      </c>
      <c r="B81" s="21" t="str">
        <f>INDEX(Participants!$B$6:$B$20,A81)</f>
        <v>Raghav Garg</v>
      </c>
      <c r="C81" s="20">
        <v>4</v>
      </c>
      <c r="D81" s="22">
        <v>0.378055555555556</v>
      </c>
      <c r="E81" s="8" t="s">
        <v>77</v>
      </c>
      <c r="F81" s="8">
        <v>2619</v>
      </c>
      <c r="G81" s="8">
        <v>1021</v>
      </c>
      <c r="H81" s="8">
        <v>257</v>
      </c>
      <c r="I81" s="10">
        <v>-0.11</v>
      </c>
      <c r="J81" s="10">
        <v>0.08</v>
      </c>
      <c r="K81" s="10">
        <v>1.13</v>
      </c>
      <c r="L81" s="23">
        <v>10.7</v>
      </c>
      <c r="M81" s="23">
        <v>2.9</v>
      </c>
      <c r="N81" s="23">
        <v>4</v>
      </c>
      <c r="O81" s="23">
        <v>-6.8</v>
      </c>
      <c r="P81" s="23">
        <v>1.8</v>
      </c>
      <c r="Q81" s="8">
        <v>161</v>
      </c>
      <c r="R81" s="8">
        <v>7</v>
      </c>
      <c r="S81" s="8" t="s">
        <v>74</v>
      </c>
      <c r="T81" s="16">
        <f t="shared" si="11"/>
        <v>1.13815640401484</v>
      </c>
      <c r="U81" s="17">
        <f t="shared" si="12"/>
        <v>11.7855844148689</v>
      </c>
      <c r="V81" s="17">
        <f t="shared" si="13"/>
        <v>7.03420215802759</v>
      </c>
      <c r="W81" s="16">
        <f t="shared" si="15"/>
        <v>0.0676892162879146</v>
      </c>
      <c r="X81" s="12">
        <f>IF(OR(T81="",U81="",V81=""),"",MIN(100,IF(T81&gt;=Reference!$B$9,Reference!$C$9,IF(T81&gt;=Reference!$B$8,Reference!$C$8,IF(T81&gt;=Reference!$B$7,Reference!$C$7,0)))+IF(U81&gt;=Reference!$B$12,Reference!$C$12,IF(U81&gt;=Reference!$B$11,Reference!$C$11,IF(U81&gt;=Reference!$B$10,Reference!$C$10,0)))+IF(W81&gt;=Reference!$B$13,Reference!$C$13,0)+IF(V81&gt;=Reference!$B$15,Reference!$C$15,IF(V81&gt;=Reference!$B$14,Reference!$C$14,0))))</f>
        <v>0</v>
      </c>
      <c r="Y81" s="12" t="str">
        <f>IF(X81="","",IF(X81&gt;=Reference!$B$6,"HIGH",IF(X81&gt;Reference!$B$5,"MODERATE","LOW")))</f>
        <v>LOW</v>
      </c>
    </row>
    <row r="82" ht="15" customHeight="1" spans="1:25">
      <c r="A82" s="20">
        <v>10</v>
      </c>
      <c r="B82" s="21" t="str">
        <f>INDEX(Participants!$B$6:$B$20,A82)</f>
        <v>Raghav Garg</v>
      </c>
      <c r="C82" s="20">
        <v>5</v>
      </c>
      <c r="D82" s="22">
        <v>0.378136574074074</v>
      </c>
      <c r="E82" s="8" t="s">
        <v>78</v>
      </c>
      <c r="F82" s="8">
        <v>81</v>
      </c>
      <c r="G82" s="8">
        <v>59</v>
      </c>
      <c r="H82" s="8">
        <v>41</v>
      </c>
      <c r="I82" s="10">
        <v>0.05</v>
      </c>
      <c r="J82" s="10">
        <v>0.02</v>
      </c>
      <c r="K82" s="10">
        <v>0.97</v>
      </c>
      <c r="L82" s="23">
        <v>16.3</v>
      </c>
      <c r="M82" s="23">
        <v>5.2</v>
      </c>
      <c r="N82" s="23">
        <v>5.4</v>
      </c>
      <c r="O82" s="23">
        <v>-9.2</v>
      </c>
      <c r="P82" s="23">
        <v>2.7</v>
      </c>
      <c r="Q82" s="8">
        <v>176</v>
      </c>
      <c r="R82" s="8">
        <v>7</v>
      </c>
      <c r="S82" s="8" t="s">
        <v>74</v>
      </c>
      <c r="T82" s="16">
        <f t="shared" si="11"/>
        <v>0.971493695296063</v>
      </c>
      <c r="U82" s="17">
        <f t="shared" si="12"/>
        <v>17.9412931529475</v>
      </c>
      <c r="V82" s="17">
        <f t="shared" si="13"/>
        <v>9.58801335001156</v>
      </c>
      <c r="W82" s="16">
        <f t="shared" si="15"/>
        <v>0.16666270871878</v>
      </c>
      <c r="X82" s="12">
        <f>IF(OR(T82="",U82="",V82=""),"",MIN(100,IF(T82&gt;=Reference!$B$9,Reference!$C$9,IF(T82&gt;=Reference!$B$8,Reference!$C$8,IF(T82&gt;=Reference!$B$7,Reference!$C$7,0)))+IF(U82&gt;=Reference!$B$12,Reference!$C$12,IF(U82&gt;=Reference!$B$11,Reference!$C$11,IF(U82&gt;=Reference!$B$10,Reference!$C$10,0)))+IF(W82&gt;=Reference!$B$13,Reference!$C$13,0)+IF(V82&gt;=Reference!$B$15,Reference!$C$15,IF(V82&gt;=Reference!$B$14,Reference!$C$14,0))))</f>
        <v>5</v>
      </c>
      <c r="Y82" s="12" t="str">
        <f>IF(X82="","",IF(X82&gt;=Reference!$B$6,"HIGH",IF(X82&gt;Reference!$B$5,"MODERATE","LOW")))</f>
        <v>LOW</v>
      </c>
    </row>
    <row r="83" ht="15" customHeight="1" spans="1:25">
      <c r="A83" s="20">
        <v>10</v>
      </c>
      <c r="B83" s="21" t="str">
        <f>INDEX(Participants!$B$6:$B$20,A83)</f>
        <v>Raghav Garg</v>
      </c>
      <c r="C83" s="20">
        <v>6</v>
      </c>
      <c r="D83" s="22">
        <v>0.378217592592593</v>
      </c>
      <c r="E83" s="8" t="s">
        <v>73</v>
      </c>
      <c r="F83" s="8">
        <v>319</v>
      </c>
      <c r="G83" s="8">
        <v>406</v>
      </c>
      <c r="H83" s="8">
        <v>3327</v>
      </c>
      <c r="I83" s="10">
        <v>0.09</v>
      </c>
      <c r="J83" s="10">
        <v>0.09</v>
      </c>
      <c r="K83" s="10">
        <v>1.03</v>
      </c>
      <c r="L83" s="23">
        <v>4</v>
      </c>
      <c r="M83" s="23">
        <v>2.7</v>
      </c>
      <c r="N83" s="23">
        <v>3.2</v>
      </c>
      <c r="O83" s="23">
        <v>3.6</v>
      </c>
      <c r="P83" s="23">
        <v>1.1</v>
      </c>
      <c r="Q83" s="8">
        <v>238</v>
      </c>
      <c r="R83" s="8">
        <v>7</v>
      </c>
      <c r="S83" s="8" t="s">
        <v>74</v>
      </c>
      <c r="T83" s="16">
        <f t="shared" si="11"/>
        <v>1.03783428349617</v>
      </c>
      <c r="U83" s="17">
        <f t="shared" si="12"/>
        <v>5.79050947672137</v>
      </c>
      <c r="V83" s="17">
        <f t="shared" si="13"/>
        <v>3.76430604494374</v>
      </c>
      <c r="W83" s="16">
        <f t="shared" si="15"/>
        <v>0.0663405882001027</v>
      </c>
      <c r="X83" s="12">
        <f>IF(OR(T83="",U83="",V83=""),"",MIN(100,IF(T83&gt;=Reference!$B$9,Reference!$C$9,IF(T83&gt;=Reference!$B$8,Reference!$C$8,IF(T83&gt;=Reference!$B$7,Reference!$C$7,0)))+IF(U83&gt;=Reference!$B$12,Reference!$C$12,IF(U83&gt;=Reference!$B$11,Reference!$C$11,IF(U83&gt;=Reference!$B$10,Reference!$C$10,0)))+IF(W83&gt;=Reference!$B$13,Reference!$C$13,0)+IF(V83&gt;=Reference!$B$15,Reference!$C$15,IF(V83&gt;=Reference!$B$14,Reference!$C$14,0))))</f>
        <v>0</v>
      </c>
      <c r="Y83" s="12" t="str">
        <f>IF(X83="","",IF(X83&gt;=Reference!$B$6,"HIGH",IF(X83&gt;Reference!$B$5,"MODERATE","LOW")))</f>
        <v>LOW</v>
      </c>
    </row>
    <row r="84" ht="15" customHeight="1" spans="1:25">
      <c r="A84" s="20">
        <v>10</v>
      </c>
      <c r="B84" s="21" t="str">
        <f>INDEX(Participants!$B$6:$B$20,A84)</f>
        <v>Raghav Garg</v>
      </c>
      <c r="C84" s="20">
        <v>7</v>
      </c>
      <c r="D84" s="22">
        <v>0.378275462962963</v>
      </c>
      <c r="E84" s="8" t="s">
        <v>75</v>
      </c>
      <c r="F84" s="8">
        <v>1072</v>
      </c>
      <c r="G84" s="8">
        <v>1376</v>
      </c>
      <c r="H84" s="8">
        <v>2149</v>
      </c>
      <c r="I84" s="10">
        <v>0.04</v>
      </c>
      <c r="J84" s="10">
        <v>-0.03</v>
      </c>
      <c r="K84" s="10">
        <v>1</v>
      </c>
      <c r="L84" s="23">
        <v>2.9</v>
      </c>
      <c r="M84" s="23">
        <v>0.3</v>
      </c>
      <c r="N84" s="23">
        <v>1</v>
      </c>
      <c r="O84" s="23">
        <v>1.3</v>
      </c>
      <c r="P84" s="23">
        <v>0.7</v>
      </c>
      <c r="Q84" s="8">
        <v>240</v>
      </c>
      <c r="R84" s="8">
        <v>8</v>
      </c>
      <c r="S84" s="8" t="s">
        <v>74</v>
      </c>
      <c r="T84" s="16">
        <f t="shared" si="11"/>
        <v>1.00124921972504</v>
      </c>
      <c r="U84" s="17">
        <f t="shared" si="12"/>
        <v>3.08220700148449</v>
      </c>
      <c r="V84" s="17">
        <f t="shared" si="13"/>
        <v>1.47648230602334</v>
      </c>
      <c r="W84" s="16">
        <f t="shared" si="15"/>
        <v>0.0365850637711265</v>
      </c>
      <c r="X84" s="12">
        <f>IF(OR(T84="",U84="",V84=""),"",MIN(100,IF(T84&gt;=Reference!$B$9,Reference!$C$9,IF(T84&gt;=Reference!$B$8,Reference!$C$8,IF(T84&gt;=Reference!$B$7,Reference!$C$7,0)))+IF(U84&gt;=Reference!$B$12,Reference!$C$12,IF(U84&gt;=Reference!$B$11,Reference!$C$11,IF(U84&gt;=Reference!$B$10,Reference!$C$10,0)))+IF(W84&gt;=Reference!$B$13,Reference!$C$13,0)+IF(V84&gt;=Reference!$B$15,Reference!$C$15,IF(V84&gt;=Reference!$B$14,Reference!$C$14,0))))</f>
        <v>0</v>
      </c>
      <c r="Y84" s="12" t="str">
        <f>IF(X84="","",IF(X84&gt;=Reference!$B$6,"HIGH",IF(X84&gt;Reference!$B$5,"MODERATE","LOW")))</f>
        <v>LOW</v>
      </c>
    </row>
    <row r="85" ht="15" customHeight="1" spans="1:25">
      <c r="A85" s="24">
        <v>10</v>
      </c>
      <c r="B85" s="25" t="str">
        <f>INDEX(Participants!$B$6:$B$20,A85)</f>
        <v>Raghav Garg</v>
      </c>
      <c r="C85" s="24">
        <v>8</v>
      </c>
      <c r="D85" s="26">
        <v>0.378391203703704</v>
      </c>
      <c r="E85" s="27" t="s">
        <v>77</v>
      </c>
      <c r="F85" s="27">
        <v>3133</v>
      </c>
      <c r="G85" s="27">
        <v>979</v>
      </c>
      <c r="H85" s="27">
        <v>225</v>
      </c>
      <c r="I85" s="28">
        <v>-0.1</v>
      </c>
      <c r="J85" s="28">
        <v>0.07</v>
      </c>
      <c r="K85" s="28">
        <v>1.09</v>
      </c>
      <c r="L85" s="29">
        <v>9.8</v>
      </c>
      <c r="M85" s="29">
        <v>3.8</v>
      </c>
      <c r="N85" s="29">
        <v>3.9</v>
      </c>
      <c r="O85" s="29">
        <v>-6.5</v>
      </c>
      <c r="P85" s="29">
        <v>2.2</v>
      </c>
      <c r="Q85" s="27">
        <v>209</v>
      </c>
      <c r="R85" s="27">
        <v>7</v>
      </c>
      <c r="S85" s="27" t="s">
        <v>74</v>
      </c>
      <c r="T85" s="30">
        <f t="shared" si="11"/>
        <v>1.0968135666557</v>
      </c>
      <c r="U85" s="31">
        <f t="shared" si="12"/>
        <v>11.2111551590369</v>
      </c>
      <c r="V85" s="31">
        <f t="shared" si="13"/>
        <v>6.8622153857191</v>
      </c>
      <c r="W85" s="30">
        <f t="shared" si="15"/>
        <v>0.0955643469306617</v>
      </c>
      <c r="X85" s="32">
        <f>IF(OR(T85="",U85="",V85=""),"",MIN(100,IF(T85&gt;=Reference!$B$9,Reference!$C$9,IF(T85&gt;=Reference!$B$8,Reference!$C$8,IF(T85&gt;=Reference!$B$7,Reference!$C$7,0)))+IF(U85&gt;=Reference!$B$12,Reference!$C$12,IF(U85&gt;=Reference!$B$11,Reference!$C$11,IF(U85&gt;=Reference!$B$10,Reference!$C$10,0)))+IF(W85&gt;=Reference!$B$13,Reference!$C$13,0)+IF(V85&gt;=Reference!$B$15,Reference!$C$15,IF(V85&gt;=Reference!$B$14,Reference!$C$14,0))))</f>
        <v>0</v>
      </c>
      <c r="Y85" s="32" t="str">
        <f>IF(X85="","",IF(X85&gt;=Reference!$B$6,"HIGH",IF(X85&gt;Reference!$B$5,"MODERATE","LOW")))</f>
        <v>LOW</v>
      </c>
    </row>
    <row r="86" ht="15" customHeight="1" spans="1:25">
      <c r="A86" s="20">
        <v>11</v>
      </c>
      <c r="B86" s="21" t="str">
        <f>INDEX(Participants!$B$6:$B$20,A86)</f>
        <v>Kushal Thakur</v>
      </c>
      <c r="C86" s="20">
        <v>1</v>
      </c>
      <c r="D86" s="22">
        <v>0.361030092592593</v>
      </c>
      <c r="E86" s="8" t="s">
        <v>73</v>
      </c>
      <c r="F86" s="8">
        <v>605</v>
      </c>
      <c r="G86" s="8">
        <v>749</v>
      </c>
      <c r="H86" s="8">
        <v>3068</v>
      </c>
      <c r="I86" s="10">
        <v>0.21</v>
      </c>
      <c r="J86" s="10">
        <v>0.13</v>
      </c>
      <c r="K86" s="10">
        <v>1.19</v>
      </c>
      <c r="L86" s="23">
        <v>18.1</v>
      </c>
      <c r="M86" s="23">
        <v>11.6</v>
      </c>
      <c r="N86" s="23">
        <v>9</v>
      </c>
      <c r="O86" s="23">
        <v>4.4</v>
      </c>
      <c r="P86" s="23">
        <v>2.2</v>
      </c>
      <c r="Q86" s="8">
        <v>141</v>
      </c>
      <c r="R86" s="8">
        <v>9</v>
      </c>
      <c r="S86" s="8" t="s">
        <v>74</v>
      </c>
      <c r="T86" s="16">
        <f t="shared" si="11"/>
        <v>1.21536002896261</v>
      </c>
      <c r="U86" s="17">
        <f t="shared" si="12"/>
        <v>23.3060078091466</v>
      </c>
      <c r="V86" s="17">
        <f t="shared" si="13"/>
        <v>4.91934955049954</v>
      </c>
      <c r="W86" s="16">
        <f>IF(T86="","",0)</f>
        <v>0</v>
      </c>
      <c r="X86" s="12">
        <f>IF(OR(T86="",U86="",V86=""),"",MIN(100,IF(T86&gt;=Reference!$B$9,Reference!$C$9,IF(T86&gt;=Reference!$B$8,Reference!$C$8,IF(T86&gt;=Reference!$B$7,Reference!$C$7,0)))+IF(U86&gt;=Reference!$B$12,Reference!$C$12,IF(U86&gt;=Reference!$B$11,Reference!$C$11,IF(U86&gt;=Reference!$B$10,Reference!$C$10,0)))+IF(W86&gt;=Reference!$B$13,Reference!$C$13,0)+IF(V86&gt;=Reference!$B$15,Reference!$C$15,IF(V86&gt;=Reference!$B$14,Reference!$C$14,0))))</f>
        <v>8</v>
      </c>
      <c r="Y86" s="12" t="str">
        <f>IF(X86="","",IF(X86&gt;=Reference!$B$6,"HIGH",IF(X86&gt;Reference!$B$5,"MODERATE","LOW")))</f>
        <v>LOW</v>
      </c>
    </row>
    <row r="87" ht="15" customHeight="1" spans="1:25">
      <c r="A87" s="20">
        <v>11</v>
      </c>
      <c r="B87" s="21" t="str">
        <f>INDEX(Participants!$B$6:$B$20,A87)</f>
        <v>Kushal Thakur</v>
      </c>
      <c r="C87" s="20">
        <v>2</v>
      </c>
      <c r="D87" s="22">
        <v>0.361099537037037</v>
      </c>
      <c r="E87" s="8" t="s">
        <v>75</v>
      </c>
      <c r="F87" s="8">
        <v>1654</v>
      </c>
      <c r="G87" s="8">
        <v>2383</v>
      </c>
      <c r="H87" s="8">
        <v>3177</v>
      </c>
      <c r="I87" s="10">
        <v>0.15</v>
      </c>
      <c r="J87" s="10">
        <v>-0.07</v>
      </c>
      <c r="K87" s="10">
        <v>1.13</v>
      </c>
      <c r="L87" s="23">
        <v>12</v>
      </c>
      <c r="M87" s="23">
        <v>8.2</v>
      </c>
      <c r="N87" s="23">
        <v>5.8</v>
      </c>
      <c r="O87" s="23">
        <v>3.1</v>
      </c>
      <c r="P87" s="23">
        <v>1.7</v>
      </c>
      <c r="Q87" s="8">
        <v>129</v>
      </c>
      <c r="R87" s="8">
        <v>8</v>
      </c>
      <c r="S87" s="8" t="s">
        <v>74</v>
      </c>
      <c r="T87" s="16">
        <f t="shared" si="11"/>
        <v>1.14205954310623</v>
      </c>
      <c r="U87" s="17">
        <f t="shared" si="12"/>
        <v>15.6486421136148</v>
      </c>
      <c r="V87" s="17">
        <f t="shared" si="13"/>
        <v>3.53553390593274</v>
      </c>
      <c r="W87" s="16">
        <f t="shared" ref="W87:W93" si="16">IF(T87="","",IF(T86="",0,ABS(T87-T86)))</f>
        <v>0.0733004858563862</v>
      </c>
      <c r="X87" s="12">
        <f>IF(OR(T87="",U87="",V87=""),"",MIN(100,IF(T87&gt;=Reference!$B$9,Reference!$C$9,IF(T87&gt;=Reference!$B$8,Reference!$C$8,IF(T87&gt;=Reference!$B$7,Reference!$C$7,0)))+IF(U87&gt;=Reference!$B$12,Reference!$C$12,IF(U87&gt;=Reference!$B$11,Reference!$C$11,IF(U87&gt;=Reference!$B$10,Reference!$C$10,0)))+IF(W87&gt;=Reference!$B$13,Reference!$C$13,0)+IF(V87&gt;=Reference!$B$15,Reference!$C$15,IF(V87&gt;=Reference!$B$14,Reference!$C$14,0))))</f>
        <v>0</v>
      </c>
      <c r="Y87" s="12" t="str">
        <f>IF(X87="","",IF(X87&gt;=Reference!$B$6,"HIGH",IF(X87&gt;Reference!$B$5,"MODERATE","LOW")))</f>
        <v>LOW</v>
      </c>
    </row>
    <row r="88" ht="15" customHeight="1" spans="1:25">
      <c r="A88" s="20">
        <v>11</v>
      </c>
      <c r="B88" s="21" t="str">
        <f>INDEX(Participants!$B$6:$B$20,A88)</f>
        <v>Kushal Thakur</v>
      </c>
      <c r="C88" s="20">
        <v>3</v>
      </c>
      <c r="D88" s="22">
        <v>0.36119212962963</v>
      </c>
      <c r="E88" s="8" t="s">
        <v>79</v>
      </c>
      <c r="F88" s="8">
        <v>3678</v>
      </c>
      <c r="G88" s="8">
        <v>1502</v>
      </c>
      <c r="H88" s="8">
        <v>395</v>
      </c>
      <c r="I88" s="10">
        <v>-0.35</v>
      </c>
      <c r="J88" s="10">
        <v>0.18</v>
      </c>
      <c r="K88" s="10">
        <v>1.32</v>
      </c>
      <c r="L88" s="23">
        <v>33.6</v>
      </c>
      <c r="M88" s="23">
        <v>19.4</v>
      </c>
      <c r="N88" s="23">
        <v>28.7</v>
      </c>
      <c r="O88" s="23">
        <v>5.7</v>
      </c>
      <c r="P88" s="23">
        <v>8.2</v>
      </c>
      <c r="Q88" s="8">
        <v>106</v>
      </c>
      <c r="R88" s="8">
        <v>8</v>
      </c>
      <c r="S88" s="8" t="s">
        <v>74</v>
      </c>
      <c r="T88" s="16">
        <f t="shared" si="11"/>
        <v>1.3774251340817</v>
      </c>
      <c r="U88" s="17">
        <f t="shared" si="12"/>
        <v>48.2598176540277</v>
      </c>
      <c r="V88" s="17">
        <f t="shared" si="13"/>
        <v>9.98649087517733</v>
      </c>
      <c r="W88" s="16">
        <f t="shared" si="16"/>
        <v>0.235365590975479</v>
      </c>
      <c r="X88" s="12">
        <f>IF(OR(T88="",U88="",V88=""),"",MIN(100,IF(T88&gt;=Reference!$B$9,Reference!$C$9,IF(T88&gt;=Reference!$B$8,Reference!$C$8,IF(T88&gt;=Reference!$B$7,Reference!$C$7,0)))+IF(U88&gt;=Reference!$B$12,Reference!$C$12,IF(U88&gt;=Reference!$B$11,Reference!$C$11,IF(U88&gt;=Reference!$B$10,Reference!$C$10,0)))+IF(W88&gt;=Reference!$B$13,Reference!$C$13,0)+IF(V88&gt;=Reference!$B$15,Reference!$C$15,IF(V88&gt;=Reference!$B$14,Reference!$C$14,0))))</f>
        <v>35</v>
      </c>
      <c r="Y88" s="12" t="str">
        <f>IF(X88="","",IF(X88&gt;=Reference!$B$6,"HIGH",IF(X88&gt;Reference!$B$5,"MODERATE","LOW")))</f>
        <v>LOW</v>
      </c>
    </row>
    <row r="89" ht="15" customHeight="1" spans="1:25">
      <c r="A89" s="20">
        <v>11</v>
      </c>
      <c r="B89" s="21" t="str">
        <f>INDEX(Participants!$B$6:$B$20,A89)</f>
        <v>Kushal Thakur</v>
      </c>
      <c r="C89" s="20">
        <v>4</v>
      </c>
      <c r="D89" s="22">
        <v>0.361226851851852</v>
      </c>
      <c r="E89" s="8" t="s">
        <v>78</v>
      </c>
      <c r="F89" s="8">
        <v>151</v>
      </c>
      <c r="G89" s="8">
        <v>96</v>
      </c>
      <c r="H89" s="8">
        <v>64</v>
      </c>
      <c r="I89" s="10">
        <v>0.27</v>
      </c>
      <c r="J89" s="10">
        <v>0.25</v>
      </c>
      <c r="K89" s="10">
        <v>1.08</v>
      </c>
      <c r="L89" s="23">
        <v>23.2</v>
      </c>
      <c r="M89" s="23">
        <v>8.1</v>
      </c>
      <c r="N89" s="23">
        <v>13.7</v>
      </c>
      <c r="O89" s="23">
        <v>-7.1</v>
      </c>
      <c r="P89" s="23">
        <v>3</v>
      </c>
      <c r="Q89" s="8">
        <v>169</v>
      </c>
      <c r="R89" s="8">
        <v>8</v>
      </c>
      <c r="S89" s="8" t="s">
        <v>74</v>
      </c>
      <c r="T89" s="16">
        <f t="shared" si="11"/>
        <v>1.14096450426821</v>
      </c>
      <c r="U89" s="17">
        <f t="shared" si="12"/>
        <v>28.1343206777772</v>
      </c>
      <c r="V89" s="17">
        <f t="shared" si="13"/>
        <v>7.70778826901725</v>
      </c>
      <c r="W89" s="16">
        <f t="shared" si="16"/>
        <v>0.236460629813495</v>
      </c>
      <c r="X89" s="12">
        <f>IF(OR(T89="",U89="",V89=""),"",MIN(100,IF(T89&gt;=Reference!$B$9,Reference!$C$9,IF(T89&gt;=Reference!$B$8,Reference!$C$8,IF(T89&gt;=Reference!$B$7,Reference!$C$7,0)))+IF(U89&gt;=Reference!$B$12,Reference!$C$12,IF(U89&gt;=Reference!$B$11,Reference!$C$11,IF(U89&gt;=Reference!$B$10,Reference!$C$10,0)))+IF(W89&gt;=Reference!$B$13,Reference!$C$13,0)+IF(V89&gt;=Reference!$B$15,Reference!$C$15,IF(V89&gt;=Reference!$B$14,Reference!$C$14,0))))</f>
        <v>8</v>
      </c>
      <c r="Y89" s="12" t="str">
        <f>IF(X89="","",IF(X89&gt;=Reference!$B$6,"HIGH",IF(X89&gt;Reference!$B$5,"MODERATE","LOW")))</f>
        <v>LOW</v>
      </c>
    </row>
    <row r="90" ht="15" customHeight="1" spans="1:25">
      <c r="A90" s="20">
        <v>11</v>
      </c>
      <c r="B90" s="21" t="str">
        <f>INDEX(Participants!$B$6:$B$20,A90)</f>
        <v>Kushal Thakur</v>
      </c>
      <c r="C90" s="20">
        <v>5</v>
      </c>
      <c r="D90" s="22">
        <v>0.361331018518519</v>
      </c>
      <c r="E90" s="8" t="s">
        <v>79</v>
      </c>
      <c r="F90" s="8">
        <v>708</v>
      </c>
      <c r="G90" s="8">
        <v>769</v>
      </c>
      <c r="H90" s="8">
        <v>3750</v>
      </c>
      <c r="I90" s="10">
        <v>0.62</v>
      </c>
      <c r="J90" s="10">
        <v>0.33</v>
      </c>
      <c r="K90" s="10">
        <v>1.4</v>
      </c>
      <c r="L90" s="23">
        <v>36.4</v>
      </c>
      <c r="M90" s="23">
        <v>19.8</v>
      </c>
      <c r="N90" s="23">
        <v>30.4</v>
      </c>
      <c r="O90" s="23">
        <v>5.8</v>
      </c>
      <c r="P90" s="23">
        <v>9.3</v>
      </c>
      <c r="Q90" s="8">
        <v>108</v>
      </c>
      <c r="R90" s="8">
        <v>9</v>
      </c>
      <c r="S90" s="8" t="s">
        <v>74</v>
      </c>
      <c r="T90" s="16">
        <f t="shared" si="11"/>
        <v>1.56630137585332</v>
      </c>
      <c r="U90" s="17">
        <f t="shared" si="12"/>
        <v>51.3922173096277</v>
      </c>
      <c r="V90" s="17">
        <f t="shared" si="13"/>
        <v>10.9603832049797</v>
      </c>
      <c r="W90" s="16">
        <f t="shared" si="16"/>
        <v>0.42533687158511</v>
      </c>
      <c r="X90" s="12">
        <f>IF(OR(T90="",U90="",V90=""),"",MIN(100,IF(T90&gt;=Reference!$B$9,Reference!$C$9,IF(T90&gt;=Reference!$B$8,Reference!$C$8,IF(T90&gt;=Reference!$B$7,Reference!$C$7,0)))+IF(U90&gt;=Reference!$B$12,Reference!$C$12,IF(U90&gt;=Reference!$B$11,Reference!$C$11,IF(U90&gt;=Reference!$B$10,Reference!$C$10,0)))+IF(W90&gt;=Reference!$B$13,Reference!$C$13,0)+IF(V90&gt;=Reference!$B$15,Reference!$C$15,IF(V90&gt;=Reference!$B$14,Reference!$C$14,0))))</f>
        <v>65</v>
      </c>
      <c r="Y90" s="12" t="str">
        <f>IF(X90="","",IF(X90&gt;=Reference!$B$6,"HIGH",IF(X90&gt;Reference!$B$5,"MODERATE","LOW")))</f>
        <v>MODERATE</v>
      </c>
    </row>
    <row r="91" ht="15" customHeight="1" spans="1:25">
      <c r="A91" s="20">
        <v>11</v>
      </c>
      <c r="B91" s="21" t="str">
        <f>INDEX(Participants!$B$6:$B$20,A91)</f>
        <v>Kushal Thakur</v>
      </c>
      <c r="C91" s="20">
        <v>6</v>
      </c>
      <c r="D91" s="22">
        <v>0.361388888888889</v>
      </c>
      <c r="E91" s="8" t="s">
        <v>75</v>
      </c>
      <c r="F91" s="8">
        <v>1536</v>
      </c>
      <c r="G91" s="8">
        <v>2314</v>
      </c>
      <c r="H91" s="8">
        <v>2979</v>
      </c>
      <c r="I91" s="10">
        <v>0.16</v>
      </c>
      <c r="J91" s="10">
        <v>0.09</v>
      </c>
      <c r="K91" s="10">
        <v>1.13</v>
      </c>
      <c r="L91" s="23">
        <v>10.3</v>
      </c>
      <c r="M91" s="23">
        <v>8</v>
      </c>
      <c r="N91" s="23">
        <v>5.9</v>
      </c>
      <c r="O91" s="23">
        <v>2.8</v>
      </c>
      <c r="P91" s="23">
        <v>1.8</v>
      </c>
      <c r="Q91" s="8">
        <v>129</v>
      </c>
      <c r="R91" s="8">
        <v>8</v>
      </c>
      <c r="S91" s="8" t="s">
        <v>74</v>
      </c>
      <c r="T91" s="16">
        <f t="shared" si="11"/>
        <v>1.14481439543709</v>
      </c>
      <c r="U91" s="17">
        <f t="shared" si="12"/>
        <v>14.3143284858215</v>
      </c>
      <c r="V91" s="17">
        <f t="shared" si="13"/>
        <v>3.32866339541865</v>
      </c>
      <c r="W91" s="16">
        <f t="shared" si="16"/>
        <v>0.421486980416224</v>
      </c>
      <c r="X91" s="12">
        <f>IF(OR(T91="",U91="",V91=""),"",MIN(100,IF(T91&gt;=Reference!$B$9,Reference!$C$9,IF(T91&gt;=Reference!$B$8,Reference!$C$8,IF(T91&gt;=Reference!$B$7,Reference!$C$7,0)))+IF(U91&gt;=Reference!$B$12,Reference!$C$12,IF(U91&gt;=Reference!$B$11,Reference!$C$11,IF(U91&gt;=Reference!$B$10,Reference!$C$10,0)))+IF(W91&gt;=Reference!$B$13,Reference!$C$13,0)+IF(V91&gt;=Reference!$B$15,Reference!$C$15,IF(V91&gt;=Reference!$B$14,Reference!$C$14,0))))</f>
        <v>15</v>
      </c>
      <c r="Y91" s="12" t="str">
        <f>IF(X91="","",IF(X91&gt;=Reference!$B$6,"HIGH",IF(X91&gt;Reference!$B$5,"MODERATE","LOW")))</f>
        <v>LOW</v>
      </c>
    </row>
    <row r="92" ht="15" customHeight="1" spans="1:25">
      <c r="A92" s="20">
        <v>11</v>
      </c>
      <c r="B92" s="21" t="str">
        <f>INDEX(Participants!$B$6:$B$20,A92)</f>
        <v>Kushal Thakur</v>
      </c>
      <c r="C92" s="20">
        <v>7</v>
      </c>
      <c r="D92" s="22">
        <v>0.361423611111111</v>
      </c>
      <c r="E92" s="8" t="s">
        <v>77</v>
      </c>
      <c r="F92" s="8">
        <v>3334</v>
      </c>
      <c r="G92" s="8">
        <v>1154</v>
      </c>
      <c r="H92" s="8">
        <v>379</v>
      </c>
      <c r="I92" s="10">
        <v>0.14</v>
      </c>
      <c r="J92" s="10">
        <v>-0.06</v>
      </c>
      <c r="K92" s="10">
        <v>1.1</v>
      </c>
      <c r="L92" s="23">
        <v>9.2</v>
      </c>
      <c r="M92" s="23">
        <v>4.5</v>
      </c>
      <c r="N92" s="23">
        <v>3.2</v>
      </c>
      <c r="O92" s="23">
        <v>-5.6</v>
      </c>
      <c r="P92" s="23">
        <v>2</v>
      </c>
      <c r="Q92" s="8">
        <v>153</v>
      </c>
      <c r="R92" s="8">
        <v>7</v>
      </c>
      <c r="S92" s="8" t="s">
        <v>74</v>
      </c>
      <c r="T92" s="16">
        <f t="shared" si="11"/>
        <v>1.11049538495214</v>
      </c>
      <c r="U92" s="17">
        <f t="shared" si="12"/>
        <v>10.7298648640139</v>
      </c>
      <c r="V92" s="17">
        <f t="shared" si="13"/>
        <v>5.9464274989274</v>
      </c>
      <c r="W92" s="16">
        <f t="shared" si="16"/>
        <v>0.0343190104849549</v>
      </c>
      <c r="X92" s="12">
        <f>IF(OR(T92="",U92="",V92=""),"",MIN(100,IF(T92&gt;=Reference!$B$9,Reference!$C$9,IF(T92&gt;=Reference!$B$8,Reference!$C$8,IF(T92&gt;=Reference!$B$7,Reference!$C$7,0)))+IF(U92&gt;=Reference!$B$12,Reference!$C$12,IF(U92&gt;=Reference!$B$11,Reference!$C$11,IF(U92&gt;=Reference!$B$10,Reference!$C$10,0)))+IF(W92&gt;=Reference!$B$13,Reference!$C$13,0)+IF(V92&gt;=Reference!$B$15,Reference!$C$15,IF(V92&gt;=Reference!$B$14,Reference!$C$14,0))))</f>
        <v>0</v>
      </c>
      <c r="Y92" s="12" t="str">
        <f>IF(X92="","",IF(X92&gt;=Reference!$B$6,"HIGH",IF(X92&gt;Reference!$B$5,"MODERATE","LOW")))</f>
        <v>LOW</v>
      </c>
    </row>
    <row r="93" ht="15" customHeight="1" spans="1:25">
      <c r="A93" s="24">
        <v>11</v>
      </c>
      <c r="B93" s="25" t="str">
        <f>INDEX(Participants!$B$6:$B$20,A93)</f>
        <v>Kushal Thakur</v>
      </c>
      <c r="C93" s="24">
        <v>8</v>
      </c>
      <c r="D93" s="26">
        <v>0.361493055555556</v>
      </c>
      <c r="E93" s="27" t="s">
        <v>73</v>
      </c>
      <c r="F93" s="27">
        <v>662</v>
      </c>
      <c r="G93" s="27">
        <v>860</v>
      </c>
      <c r="H93" s="27">
        <v>3254</v>
      </c>
      <c r="I93" s="28">
        <v>0.32</v>
      </c>
      <c r="J93" s="28">
        <v>0.18</v>
      </c>
      <c r="K93" s="28">
        <v>1.24</v>
      </c>
      <c r="L93" s="29">
        <v>24.6</v>
      </c>
      <c r="M93" s="29">
        <v>11</v>
      </c>
      <c r="N93" s="29">
        <v>15.4</v>
      </c>
      <c r="O93" s="29">
        <v>4.5</v>
      </c>
      <c r="P93" s="29">
        <v>2.9</v>
      </c>
      <c r="Q93" s="27">
        <v>140</v>
      </c>
      <c r="R93" s="27">
        <v>9</v>
      </c>
      <c r="S93" s="27" t="s">
        <v>74</v>
      </c>
      <c r="T93" s="30">
        <f t="shared" si="11"/>
        <v>1.29321305282618</v>
      </c>
      <c r="U93" s="31">
        <f t="shared" si="12"/>
        <v>31.0373967980564</v>
      </c>
      <c r="V93" s="31">
        <f t="shared" si="13"/>
        <v>5.35350352572967</v>
      </c>
      <c r="W93" s="30">
        <f t="shared" si="16"/>
        <v>0.182717667874037</v>
      </c>
      <c r="X93" s="32">
        <f>IF(OR(T93="",U93="",V93=""),"",MIN(100,IF(T93&gt;=Reference!$B$9,Reference!$C$9,IF(T93&gt;=Reference!$B$8,Reference!$C$8,IF(T93&gt;=Reference!$B$7,Reference!$C$7,0)))+IF(U93&gt;=Reference!$B$12,Reference!$C$12,IF(U93&gt;=Reference!$B$11,Reference!$C$11,IF(U93&gt;=Reference!$B$10,Reference!$C$10,0)))+IF(W93&gt;=Reference!$B$13,Reference!$C$13,0)+IF(V93&gt;=Reference!$B$15,Reference!$C$15,IF(V93&gt;=Reference!$B$14,Reference!$C$14,0))))</f>
        <v>20</v>
      </c>
      <c r="Y93" s="32" t="str">
        <f>IF(X93="","",IF(X93&gt;=Reference!$B$6,"HIGH",IF(X93&gt;Reference!$B$5,"MODERATE","LOW")))</f>
        <v>LOW</v>
      </c>
    </row>
    <row r="94" ht="15" customHeight="1" spans="1:25">
      <c r="A94" s="20">
        <v>12</v>
      </c>
      <c r="B94" s="21" t="str">
        <f>INDEX(Participants!$B$6:$B$20,A94)</f>
        <v>Manjot Singh</v>
      </c>
      <c r="C94" s="20">
        <v>1</v>
      </c>
      <c r="D94" s="22">
        <v>0.437222222222222</v>
      </c>
      <c r="E94" s="8" t="s">
        <v>80</v>
      </c>
      <c r="F94" s="8">
        <v>999</v>
      </c>
      <c r="G94" s="8">
        <v>909</v>
      </c>
      <c r="H94" s="8">
        <v>1875</v>
      </c>
      <c r="I94" s="10">
        <v>0.01</v>
      </c>
      <c r="J94" s="10">
        <v>0.02</v>
      </c>
      <c r="K94" s="10">
        <v>1.02</v>
      </c>
      <c r="L94" s="23">
        <v>-0.1</v>
      </c>
      <c r="M94" s="23">
        <v>0.3</v>
      </c>
      <c r="N94" s="23">
        <v>0</v>
      </c>
      <c r="O94" s="23">
        <v>0.8</v>
      </c>
      <c r="P94" s="23">
        <v>0.4</v>
      </c>
      <c r="Q94" s="8">
        <v>307</v>
      </c>
      <c r="R94" s="8">
        <v>3</v>
      </c>
      <c r="S94" s="8" t="s">
        <v>81</v>
      </c>
      <c r="T94" s="16">
        <f t="shared" si="11"/>
        <v>1.02024506859872</v>
      </c>
      <c r="U94" s="17">
        <f t="shared" si="12"/>
        <v>0.316227766016838</v>
      </c>
      <c r="V94" s="17">
        <f t="shared" si="13"/>
        <v>0.894427190999916</v>
      </c>
      <c r="W94" s="16">
        <f>IF(T94="","",0)</f>
        <v>0</v>
      </c>
      <c r="X94" s="12">
        <f>IF(OR(T94="",U94="",V94=""),"",MIN(100,IF(T94&gt;=Reference!$B$9,Reference!$C$9,IF(T94&gt;=Reference!$B$8,Reference!$C$8,IF(T94&gt;=Reference!$B$7,Reference!$C$7,0)))+IF(U94&gt;=Reference!$B$12,Reference!$C$12,IF(U94&gt;=Reference!$B$11,Reference!$C$11,IF(U94&gt;=Reference!$B$10,Reference!$C$10,0)))+IF(W94&gt;=Reference!$B$13,Reference!$C$13,0)+IF(V94&gt;=Reference!$B$15,Reference!$C$15,IF(V94&gt;=Reference!$B$14,Reference!$C$14,0))))</f>
        <v>0</v>
      </c>
      <c r="Y94" s="12" t="str">
        <f>IF(X94="","",IF(X94&gt;=Reference!$B$6,"HIGH",IF(X94&gt;Reference!$B$5,"MODERATE","LOW")))</f>
        <v>LOW</v>
      </c>
    </row>
    <row r="95" ht="15" customHeight="1" spans="1:25">
      <c r="A95" s="20">
        <v>12</v>
      </c>
      <c r="B95" s="21" t="str">
        <f>INDEX(Participants!$B$6:$B$20,A95)</f>
        <v>Manjot Singh</v>
      </c>
      <c r="C95" s="20">
        <v>2</v>
      </c>
      <c r="D95" s="22">
        <v>0.437372685185185</v>
      </c>
      <c r="E95" s="8" t="s">
        <v>80</v>
      </c>
      <c r="F95" s="8">
        <v>1186</v>
      </c>
      <c r="G95" s="8">
        <v>927</v>
      </c>
      <c r="H95" s="8">
        <v>1556</v>
      </c>
      <c r="I95" s="10">
        <v>0.03</v>
      </c>
      <c r="J95" s="10">
        <v>0.01</v>
      </c>
      <c r="K95" s="10">
        <v>1.01</v>
      </c>
      <c r="L95" s="23">
        <v>1</v>
      </c>
      <c r="M95" s="23">
        <v>-0.1</v>
      </c>
      <c r="N95" s="23">
        <v>1.4</v>
      </c>
      <c r="O95" s="23">
        <v>1.2</v>
      </c>
      <c r="P95" s="23">
        <v>0.6</v>
      </c>
      <c r="Q95" s="8">
        <v>316</v>
      </c>
      <c r="R95" s="8">
        <v>3</v>
      </c>
      <c r="S95" s="8" t="s">
        <v>81</v>
      </c>
      <c r="T95" s="16">
        <f t="shared" si="11"/>
        <v>1.01049492824061</v>
      </c>
      <c r="U95" s="17">
        <f t="shared" si="12"/>
        <v>1.72336879396141</v>
      </c>
      <c r="V95" s="17">
        <f t="shared" si="13"/>
        <v>1.34164078649987</v>
      </c>
      <c r="W95" s="16">
        <f t="shared" ref="W95:W101" si="17">IF(T95="","",IF(T94="",0,ABS(T95-T94)))</f>
        <v>0.0097501403581044</v>
      </c>
      <c r="X95" s="12">
        <f>IF(OR(T95="",U95="",V95=""),"",MIN(100,IF(T95&gt;=Reference!$B$9,Reference!$C$9,IF(T95&gt;=Reference!$B$8,Reference!$C$8,IF(T95&gt;=Reference!$B$7,Reference!$C$7,0)))+IF(U95&gt;=Reference!$B$12,Reference!$C$12,IF(U95&gt;=Reference!$B$11,Reference!$C$11,IF(U95&gt;=Reference!$B$10,Reference!$C$10,0)))+IF(W95&gt;=Reference!$B$13,Reference!$C$13,0)+IF(V95&gt;=Reference!$B$15,Reference!$C$15,IF(V95&gt;=Reference!$B$14,Reference!$C$14,0))))</f>
        <v>0</v>
      </c>
      <c r="Y95" s="12" t="str">
        <f>IF(X95="","",IF(X95&gt;=Reference!$B$6,"HIGH",IF(X95&gt;Reference!$B$5,"MODERATE","LOW")))</f>
        <v>LOW</v>
      </c>
    </row>
    <row r="96" ht="15" customHeight="1" spans="1:25">
      <c r="A96" s="20">
        <v>12</v>
      </c>
      <c r="B96" s="21" t="str">
        <f>INDEX(Participants!$B$6:$B$20,A96)</f>
        <v>Manjot Singh</v>
      </c>
      <c r="C96" s="20">
        <v>3</v>
      </c>
      <c r="D96" s="22">
        <v>0.4375</v>
      </c>
      <c r="E96" s="8" t="s">
        <v>80</v>
      </c>
      <c r="F96" s="8">
        <v>1154</v>
      </c>
      <c r="G96" s="8">
        <v>816</v>
      </c>
      <c r="H96" s="8">
        <v>1720</v>
      </c>
      <c r="I96" s="10">
        <v>0.02</v>
      </c>
      <c r="J96" s="10">
        <v>0.03</v>
      </c>
      <c r="K96" s="10">
        <v>1.01</v>
      </c>
      <c r="L96" s="23">
        <v>0</v>
      </c>
      <c r="M96" s="23">
        <v>0.6</v>
      </c>
      <c r="N96" s="23">
        <v>0.4</v>
      </c>
      <c r="O96" s="23">
        <v>0.7</v>
      </c>
      <c r="P96" s="23">
        <v>0.3</v>
      </c>
      <c r="Q96" s="8">
        <v>326</v>
      </c>
      <c r="R96" s="8">
        <v>3</v>
      </c>
      <c r="S96" s="8" t="s">
        <v>81</v>
      </c>
      <c r="T96" s="16">
        <f t="shared" si="11"/>
        <v>1.01064335944981</v>
      </c>
      <c r="U96" s="17">
        <f t="shared" si="12"/>
        <v>0.721110255092798</v>
      </c>
      <c r="V96" s="17">
        <f t="shared" si="13"/>
        <v>0.761577310586391</v>
      </c>
      <c r="W96" s="16">
        <f t="shared" si="17"/>
        <v>0.000148431209199051</v>
      </c>
      <c r="X96" s="12">
        <f>IF(OR(T96="",U96="",V96=""),"",MIN(100,IF(T96&gt;=Reference!$B$9,Reference!$C$9,IF(T96&gt;=Reference!$B$8,Reference!$C$8,IF(T96&gt;=Reference!$B$7,Reference!$C$7,0)))+IF(U96&gt;=Reference!$B$12,Reference!$C$12,IF(U96&gt;=Reference!$B$11,Reference!$C$11,IF(U96&gt;=Reference!$B$10,Reference!$C$10,0)))+IF(W96&gt;=Reference!$B$13,Reference!$C$13,0)+IF(V96&gt;=Reference!$B$15,Reference!$C$15,IF(V96&gt;=Reference!$B$14,Reference!$C$14,0))))</f>
        <v>0</v>
      </c>
      <c r="Y96" s="12" t="str">
        <f>IF(X96="","",IF(X96&gt;=Reference!$B$6,"HIGH",IF(X96&gt;Reference!$B$5,"MODERATE","LOW")))</f>
        <v>LOW</v>
      </c>
    </row>
    <row r="97" ht="15" customHeight="1" spans="1:25">
      <c r="A97" s="20">
        <v>12</v>
      </c>
      <c r="B97" s="21" t="str">
        <f>INDEX(Participants!$B$6:$B$20,A97)</f>
        <v>Manjot Singh</v>
      </c>
      <c r="C97" s="20">
        <v>4</v>
      </c>
      <c r="D97" s="22">
        <v>0.437662037037037</v>
      </c>
      <c r="E97" s="8" t="s">
        <v>82</v>
      </c>
      <c r="F97" s="8">
        <v>1411</v>
      </c>
      <c r="G97" s="8">
        <v>932</v>
      </c>
      <c r="H97" s="8">
        <v>1459</v>
      </c>
      <c r="I97" s="10">
        <v>0.04</v>
      </c>
      <c r="J97" s="10">
        <v>0.02</v>
      </c>
      <c r="K97" s="10">
        <v>1</v>
      </c>
      <c r="L97" s="23">
        <v>2.2</v>
      </c>
      <c r="M97" s="23">
        <v>0.8</v>
      </c>
      <c r="N97" s="23">
        <v>0.5</v>
      </c>
      <c r="O97" s="23">
        <v>1.8</v>
      </c>
      <c r="P97" s="23">
        <v>0.8</v>
      </c>
      <c r="Q97" s="8">
        <v>319</v>
      </c>
      <c r="R97" s="8">
        <v>3</v>
      </c>
      <c r="S97" s="8" t="s">
        <v>81</v>
      </c>
      <c r="T97" s="16">
        <f t="shared" si="11"/>
        <v>1.00099950049938</v>
      </c>
      <c r="U97" s="17">
        <f t="shared" si="12"/>
        <v>2.39374184071716</v>
      </c>
      <c r="V97" s="17">
        <f t="shared" si="13"/>
        <v>1.96977156035922</v>
      </c>
      <c r="W97" s="16">
        <f t="shared" si="17"/>
        <v>0.00964385895043529</v>
      </c>
      <c r="X97" s="12">
        <f>IF(OR(T97="",U97="",V97=""),"",MIN(100,IF(T97&gt;=Reference!$B$9,Reference!$C$9,IF(T97&gt;=Reference!$B$8,Reference!$C$8,IF(T97&gt;=Reference!$B$7,Reference!$C$7,0)))+IF(U97&gt;=Reference!$B$12,Reference!$C$12,IF(U97&gt;=Reference!$B$11,Reference!$C$11,IF(U97&gt;=Reference!$B$10,Reference!$C$10,0)))+IF(W97&gt;=Reference!$B$13,Reference!$C$13,0)+IF(V97&gt;=Reference!$B$15,Reference!$C$15,IF(V97&gt;=Reference!$B$14,Reference!$C$14,0))))</f>
        <v>0</v>
      </c>
      <c r="Y97" s="12" t="str">
        <f>IF(X97="","",IF(X97&gt;=Reference!$B$6,"HIGH",IF(X97&gt;Reference!$B$5,"MODERATE","LOW")))</f>
        <v>LOW</v>
      </c>
    </row>
    <row r="98" ht="15" customHeight="1" spans="1:25">
      <c r="A98" s="20">
        <v>12</v>
      </c>
      <c r="B98" s="21" t="str">
        <f>INDEX(Participants!$B$6:$B$20,A98)</f>
        <v>Manjot Singh</v>
      </c>
      <c r="C98" s="20">
        <v>5</v>
      </c>
      <c r="D98" s="22">
        <v>0.437800925925926</v>
      </c>
      <c r="E98" s="8" t="s">
        <v>80</v>
      </c>
      <c r="F98" s="8">
        <v>1286</v>
      </c>
      <c r="G98" s="8">
        <v>876</v>
      </c>
      <c r="H98" s="8">
        <v>1621</v>
      </c>
      <c r="I98" s="10">
        <v>0</v>
      </c>
      <c r="J98" s="10">
        <v>0.03</v>
      </c>
      <c r="K98" s="10">
        <v>1</v>
      </c>
      <c r="L98" s="23">
        <v>0.6</v>
      </c>
      <c r="M98" s="23">
        <v>0.1</v>
      </c>
      <c r="N98" s="23">
        <v>0.2</v>
      </c>
      <c r="O98" s="23">
        <v>1</v>
      </c>
      <c r="P98" s="23">
        <v>0.4</v>
      </c>
      <c r="Q98" s="8">
        <v>292</v>
      </c>
      <c r="R98" s="8">
        <v>3</v>
      </c>
      <c r="S98" s="8" t="s">
        <v>81</v>
      </c>
      <c r="T98" s="16">
        <f t="shared" si="11"/>
        <v>1.00044989879554</v>
      </c>
      <c r="U98" s="17">
        <f t="shared" si="12"/>
        <v>0.640312423743285</v>
      </c>
      <c r="V98" s="17">
        <f t="shared" si="13"/>
        <v>1.0770329614269</v>
      </c>
      <c r="W98" s="16">
        <f t="shared" si="17"/>
        <v>0.000549601703839109</v>
      </c>
      <c r="X98" s="12">
        <f>IF(OR(T98="",U98="",V98=""),"",MIN(100,IF(T98&gt;=Reference!$B$9,Reference!$C$9,IF(T98&gt;=Reference!$B$8,Reference!$C$8,IF(T98&gt;=Reference!$B$7,Reference!$C$7,0)))+IF(U98&gt;=Reference!$B$12,Reference!$C$12,IF(U98&gt;=Reference!$B$11,Reference!$C$11,IF(U98&gt;=Reference!$B$10,Reference!$C$10,0)))+IF(W98&gt;=Reference!$B$13,Reference!$C$13,0)+IF(V98&gt;=Reference!$B$15,Reference!$C$15,IF(V98&gt;=Reference!$B$14,Reference!$C$14,0))))</f>
        <v>0</v>
      </c>
      <c r="Y98" s="12" t="str">
        <f>IF(X98="","",IF(X98&gt;=Reference!$B$6,"HIGH",IF(X98&gt;Reference!$B$5,"MODERATE","LOW")))</f>
        <v>LOW</v>
      </c>
    </row>
    <row r="99" ht="15" customHeight="1" spans="1:25">
      <c r="A99" s="20">
        <v>12</v>
      </c>
      <c r="B99" s="21" t="str">
        <f>INDEX(Participants!$B$6:$B$20,A99)</f>
        <v>Manjot Singh</v>
      </c>
      <c r="C99" s="20">
        <v>6</v>
      </c>
      <c r="D99" s="22">
        <v>0.437881944444444</v>
      </c>
      <c r="E99" s="8" t="s">
        <v>82</v>
      </c>
      <c r="F99" s="8">
        <v>1351</v>
      </c>
      <c r="G99" s="8">
        <v>1031</v>
      </c>
      <c r="H99" s="8">
        <v>1322</v>
      </c>
      <c r="I99" s="10">
        <v>0.06</v>
      </c>
      <c r="J99" s="10">
        <v>0.05</v>
      </c>
      <c r="K99" s="10">
        <v>0.99</v>
      </c>
      <c r="L99" s="23">
        <v>1.5</v>
      </c>
      <c r="M99" s="23">
        <v>1</v>
      </c>
      <c r="N99" s="23">
        <v>1.5</v>
      </c>
      <c r="O99" s="23">
        <v>1.9</v>
      </c>
      <c r="P99" s="23">
        <v>1.1</v>
      </c>
      <c r="Q99" s="8">
        <v>291</v>
      </c>
      <c r="R99" s="8">
        <v>3</v>
      </c>
      <c r="S99" s="8" t="s">
        <v>81</v>
      </c>
      <c r="T99" s="16">
        <f t="shared" si="11"/>
        <v>0.993076029314976</v>
      </c>
      <c r="U99" s="17">
        <f t="shared" si="12"/>
        <v>2.34520787991171</v>
      </c>
      <c r="V99" s="17">
        <f t="shared" si="13"/>
        <v>2.19544984001001</v>
      </c>
      <c r="W99" s="16">
        <f t="shared" si="17"/>
        <v>0.0073738694805604</v>
      </c>
      <c r="X99" s="12">
        <f>IF(OR(T99="",U99="",V99=""),"",MIN(100,IF(T99&gt;=Reference!$B$9,Reference!$C$9,IF(T99&gt;=Reference!$B$8,Reference!$C$8,IF(T99&gt;=Reference!$B$7,Reference!$C$7,0)))+IF(U99&gt;=Reference!$B$12,Reference!$C$12,IF(U99&gt;=Reference!$B$11,Reference!$C$11,IF(U99&gt;=Reference!$B$10,Reference!$C$10,0)))+IF(W99&gt;=Reference!$B$13,Reference!$C$13,0)+IF(V99&gt;=Reference!$B$15,Reference!$C$15,IF(V99&gt;=Reference!$B$14,Reference!$C$14,0))))</f>
        <v>0</v>
      </c>
      <c r="Y99" s="12" t="str">
        <f>IF(X99="","",IF(X99&gt;=Reference!$B$6,"HIGH",IF(X99&gt;Reference!$B$5,"MODERATE","LOW")))</f>
        <v>LOW</v>
      </c>
    </row>
    <row r="100" ht="15" customHeight="1" spans="1:25">
      <c r="A100" s="20">
        <v>12</v>
      </c>
      <c r="B100" s="21" t="str">
        <f>INDEX(Participants!$B$6:$B$20,A100)</f>
        <v>Manjot Singh</v>
      </c>
      <c r="C100" s="20">
        <v>7</v>
      </c>
      <c r="D100" s="22">
        <v>0.438055555555556</v>
      </c>
      <c r="E100" s="8" t="s">
        <v>80</v>
      </c>
      <c r="F100" s="8">
        <v>1106</v>
      </c>
      <c r="G100" s="8">
        <v>939</v>
      </c>
      <c r="H100" s="8">
        <v>1577</v>
      </c>
      <c r="I100" s="10">
        <v>0.02</v>
      </c>
      <c r="J100" s="10">
        <v>-0.02</v>
      </c>
      <c r="K100" s="10">
        <v>1.01</v>
      </c>
      <c r="L100" s="23">
        <v>-0.5</v>
      </c>
      <c r="M100" s="23">
        <v>-0.1</v>
      </c>
      <c r="N100" s="23">
        <v>-0.1</v>
      </c>
      <c r="O100" s="23">
        <v>0.8</v>
      </c>
      <c r="P100" s="23">
        <v>0.5</v>
      </c>
      <c r="Q100" s="8">
        <v>323</v>
      </c>
      <c r="R100" s="8">
        <v>3</v>
      </c>
      <c r="S100" s="8" t="s">
        <v>81</v>
      </c>
      <c r="T100" s="16">
        <f t="shared" si="11"/>
        <v>1.01039596198718</v>
      </c>
      <c r="U100" s="17">
        <f t="shared" si="12"/>
        <v>0.519615242270663</v>
      </c>
      <c r="V100" s="17">
        <f t="shared" si="13"/>
        <v>0.94339811320566</v>
      </c>
      <c r="W100" s="16">
        <f t="shared" si="17"/>
        <v>0.0173199326722041</v>
      </c>
      <c r="X100" s="12">
        <f>IF(OR(T100="",U100="",V100=""),"",MIN(100,IF(T100&gt;=Reference!$B$9,Reference!$C$9,IF(T100&gt;=Reference!$B$8,Reference!$C$8,IF(T100&gt;=Reference!$B$7,Reference!$C$7,0)))+IF(U100&gt;=Reference!$B$12,Reference!$C$12,IF(U100&gt;=Reference!$B$11,Reference!$C$11,IF(U100&gt;=Reference!$B$10,Reference!$C$10,0)))+IF(W100&gt;=Reference!$B$13,Reference!$C$13,0)+IF(V100&gt;=Reference!$B$15,Reference!$C$15,IF(V100&gt;=Reference!$B$14,Reference!$C$14,0))))</f>
        <v>0</v>
      </c>
      <c r="Y100" s="12" t="str">
        <f>IF(X100="","",IF(X100&gt;=Reference!$B$6,"HIGH",IF(X100&gt;Reference!$B$5,"MODERATE","LOW")))</f>
        <v>LOW</v>
      </c>
    </row>
    <row r="101" ht="15" customHeight="1" spans="1:25">
      <c r="A101" s="24">
        <v>12</v>
      </c>
      <c r="B101" s="25" t="str">
        <f>INDEX(Participants!$B$6:$B$20,A101)</f>
        <v>Manjot Singh</v>
      </c>
      <c r="C101" s="24">
        <v>8</v>
      </c>
      <c r="D101" s="26">
        <v>0.438159722222222</v>
      </c>
      <c r="E101" s="27" t="s">
        <v>80</v>
      </c>
      <c r="F101" s="27">
        <v>1253</v>
      </c>
      <c r="G101" s="27">
        <v>996</v>
      </c>
      <c r="H101" s="27">
        <v>1713</v>
      </c>
      <c r="I101" s="28">
        <v>0</v>
      </c>
      <c r="J101" s="28">
        <v>0.03</v>
      </c>
      <c r="K101" s="28">
        <v>1.01</v>
      </c>
      <c r="L101" s="29">
        <v>0.3</v>
      </c>
      <c r="M101" s="29">
        <v>0.5</v>
      </c>
      <c r="N101" s="29">
        <v>0.6</v>
      </c>
      <c r="O101" s="29">
        <v>1.1</v>
      </c>
      <c r="P101" s="29">
        <v>0.4</v>
      </c>
      <c r="Q101" s="27">
        <v>348</v>
      </c>
      <c r="R101" s="27">
        <v>3</v>
      </c>
      <c r="S101" s="27" t="s">
        <v>81</v>
      </c>
      <c r="T101" s="30">
        <f t="shared" si="11"/>
        <v>1.01044544632553</v>
      </c>
      <c r="U101" s="31">
        <f t="shared" si="12"/>
        <v>0.836660026534076</v>
      </c>
      <c r="V101" s="31">
        <f t="shared" si="13"/>
        <v>1.17046999107196</v>
      </c>
      <c r="W101" s="30">
        <f t="shared" si="17"/>
        <v>4.94843383496146e-5</v>
      </c>
      <c r="X101" s="32">
        <f>IF(OR(T101="",U101="",V101=""),"",MIN(100,IF(T101&gt;=Reference!$B$9,Reference!$C$9,IF(T101&gt;=Reference!$B$8,Reference!$C$8,IF(T101&gt;=Reference!$B$7,Reference!$C$7,0)))+IF(U101&gt;=Reference!$B$12,Reference!$C$12,IF(U101&gt;=Reference!$B$11,Reference!$C$11,IF(U101&gt;=Reference!$B$10,Reference!$C$10,0)))+IF(W101&gt;=Reference!$B$13,Reference!$C$13,0)+IF(V101&gt;=Reference!$B$15,Reference!$C$15,IF(V101&gt;=Reference!$B$14,Reference!$C$14,0))))</f>
        <v>0</v>
      </c>
      <c r="Y101" s="32" t="str">
        <f>IF(X101="","",IF(X101&gt;=Reference!$B$6,"HIGH",IF(X101&gt;Reference!$B$5,"MODERATE","LOW")))</f>
        <v>LOW</v>
      </c>
    </row>
    <row r="102" ht="15" customHeight="1" spans="1:25">
      <c r="A102" s="20">
        <v>13</v>
      </c>
      <c r="B102" s="21" t="str">
        <f>INDEX(Participants!$B$6:$B$20,A102)</f>
        <v>Tejnoor Singh</v>
      </c>
      <c r="C102" s="20">
        <v>1</v>
      </c>
      <c r="D102" s="22">
        <v>0.368946759259259</v>
      </c>
      <c r="E102" s="8" t="s">
        <v>73</v>
      </c>
      <c r="F102" s="8">
        <v>286</v>
      </c>
      <c r="G102" s="8">
        <v>413</v>
      </c>
      <c r="H102" s="8">
        <v>2558</v>
      </c>
      <c r="I102" s="10">
        <v>0.09</v>
      </c>
      <c r="J102" s="10">
        <v>0.03</v>
      </c>
      <c r="K102" s="10">
        <v>1.03</v>
      </c>
      <c r="L102" s="23">
        <v>3.9</v>
      </c>
      <c r="M102" s="23">
        <v>0.7</v>
      </c>
      <c r="N102" s="23">
        <v>2.2</v>
      </c>
      <c r="O102" s="23">
        <v>2.8</v>
      </c>
      <c r="P102" s="23">
        <v>1.1</v>
      </c>
      <c r="Q102" s="8">
        <v>227</v>
      </c>
      <c r="R102" s="8">
        <v>8</v>
      </c>
      <c r="S102" s="8" t="s">
        <v>74</v>
      </c>
      <c r="T102" s="16">
        <f t="shared" si="11"/>
        <v>1.03435970532499</v>
      </c>
      <c r="U102" s="17">
        <f t="shared" si="12"/>
        <v>4.53210767744986</v>
      </c>
      <c r="V102" s="17">
        <f t="shared" si="13"/>
        <v>3.00832179129826</v>
      </c>
      <c r="W102" s="16">
        <f>IF(T102="","",0)</f>
        <v>0</v>
      </c>
      <c r="X102" s="12">
        <f>IF(OR(T102="",U102="",V102=""),"",MIN(100,IF(T102&gt;=Reference!$B$9,Reference!$C$9,IF(T102&gt;=Reference!$B$8,Reference!$C$8,IF(T102&gt;=Reference!$B$7,Reference!$C$7,0)))+IF(U102&gt;=Reference!$B$12,Reference!$C$12,IF(U102&gt;=Reference!$B$11,Reference!$C$11,IF(U102&gt;=Reference!$B$10,Reference!$C$10,0)))+IF(W102&gt;=Reference!$B$13,Reference!$C$13,0)+IF(V102&gt;=Reference!$B$15,Reference!$C$15,IF(V102&gt;=Reference!$B$14,Reference!$C$14,0))))</f>
        <v>0</v>
      </c>
      <c r="Y102" s="12" t="str">
        <f>IF(X102="","",IF(X102&gt;=Reference!$B$6,"HIGH",IF(X102&gt;Reference!$B$5,"MODERATE","LOW")))</f>
        <v>LOW</v>
      </c>
    </row>
    <row r="103" ht="15" customHeight="1" spans="1:25">
      <c r="A103" s="20">
        <v>13</v>
      </c>
      <c r="B103" s="21" t="str">
        <f>INDEX(Participants!$B$6:$B$20,A103)</f>
        <v>Tejnoor Singh</v>
      </c>
      <c r="C103" s="20">
        <v>2</v>
      </c>
      <c r="D103" s="22">
        <v>0.369016203703704</v>
      </c>
      <c r="E103" s="8" t="s">
        <v>75</v>
      </c>
      <c r="F103" s="8">
        <v>1053</v>
      </c>
      <c r="G103" s="8">
        <v>1641</v>
      </c>
      <c r="H103" s="8">
        <v>2026</v>
      </c>
      <c r="I103" s="10">
        <v>0.05</v>
      </c>
      <c r="J103" s="10">
        <v>-0.04</v>
      </c>
      <c r="K103" s="10">
        <v>0.97</v>
      </c>
      <c r="L103" s="23">
        <v>2</v>
      </c>
      <c r="M103" s="23">
        <v>0.6</v>
      </c>
      <c r="N103" s="23">
        <v>1.3</v>
      </c>
      <c r="O103" s="23">
        <v>1.4</v>
      </c>
      <c r="P103" s="23">
        <v>0.9</v>
      </c>
      <c r="Q103" s="8">
        <v>214</v>
      </c>
      <c r="R103" s="8">
        <v>6</v>
      </c>
      <c r="S103" s="8" t="s">
        <v>74</v>
      </c>
      <c r="T103" s="16">
        <f t="shared" si="11"/>
        <v>0.972111104761179</v>
      </c>
      <c r="U103" s="17">
        <f t="shared" si="12"/>
        <v>2.45967477524977</v>
      </c>
      <c r="V103" s="17">
        <f t="shared" si="13"/>
        <v>1.66433169770932</v>
      </c>
      <c r="W103" s="16">
        <f t="shared" ref="W103:W109" si="18">IF(T103="","",IF(T102="",0,ABS(T103-T102)))</f>
        <v>0.0622486005638108</v>
      </c>
      <c r="X103" s="12">
        <f>IF(OR(T103="",U103="",V103=""),"",MIN(100,IF(T103&gt;=Reference!$B$9,Reference!$C$9,IF(T103&gt;=Reference!$B$8,Reference!$C$8,IF(T103&gt;=Reference!$B$7,Reference!$C$7,0)))+IF(U103&gt;=Reference!$B$12,Reference!$C$12,IF(U103&gt;=Reference!$B$11,Reference!$C$11,IF(U103&gt;=Reference!$B$10,Reference!$C$10,0)))+IF(W103&gt;=Reference!$B$13,Reference!$C$13,0)+IF(V103&gt;=Reference!$B$15,Reference!$C$15,IF(V103&gt;=Reference!$B$14,Reference!$C$14,0))))</f>
        <v>0</v>
      </c>
      <c r="Y103" s="12" t="str">
        <f>IF(X103="","",IF(X103&gt;=Reference!$B$6,"HIGH",IF(X103&gt;Reference!$B$5,"MODERATE","LOW")))</f>
        <v>LOW</v>
      </c>
    </row>
    <row r="104" ht="15" customHeight="1" spans="1:25">
      <c r="A104" s="20">
        <v>13</v>
      </c>
      <c r="B104" s="21" t="str">
        <f>INDEX(Participants!$B$6:$B$20,A104)</f>
        <v>Tejnoor Singh</v>
      </c>
      <c r="C104" s="20">
        <v>3</v>
      </c>
      <c r="D104" s="22">
        <v>0.369097222222222</v>
      </c>
      <c r="E104" s="8" t="s">
        <v>76</v>
      </c>
      <c r="F104" s="8">
        <v>1558</v>
      </c>
      <c r="G104" s="8">
        <v>1814</v>
      </c>
      <c r="H104" s="8">
        <v>1027</v>
      </c>
      <c r="I104" s="10">
        <v>0.02</v>
      </c>
      <c r="J104" s="10">
        <v>0.05</v>
      </c>
      <c r="K104" s="10">
        <v>1.06</v>
      </c>
      <c r="L104" s="23">
        <v>2.2</v>
      </c>
      <c r="M104" s="23">
        <v>-0.6</v>
      </c>
      <c r="N104" s="23">
        <v>1.5</v>
      </c>
      <c r="O104" s="23">
        <v>0.8</v>
      </c>
      <c r="P104" s="23">
        <v>0.5</v>
      </c>
      <c r="Q104" s="8">
        <v>165</v>
      </c>
      <c r="R104" s="8">
        <v>6</v>
      </c>
      <c r="S104" s="8" t="s">
        <v>74</v>
      </c>
      <c r="T104" s="16">
        <f t="shared" si="11"/>
        <v>1.06136704301575</v>
      </c>
      <c r="U104" s="17">
        <f t="shared" si="12"/>
        <v>2.72946881279124</v>
      </c>
      <c r="V104" s="17">
        <f t="shared" si="13"/>
        <v>0.94339811320566</v>
      </c>
      <c r="W104" s="16">
        <f t="shared" si="18"/>
        <v>0.0892559382545726</v>
      </c>
      <c r="X104" s="12">
        <f>IF(OR(T104="",U104="",V104=""),"",MIN(100,IF(T104&gt;=Reference!$B$9,Reference!$C$9,IF(T104&gt;=Reference!$B$8,Reference!$C$8,IF(T104&gt;=Reference!$B$7,Reference!$C$7,0)))+IF(U104&gt;=Reference!$B$12,Reference!$C$12,IF(U104&gt;=Reference!$B$11,Reference!$C$11,IF(U104&gt;=Reference!$B$10,Reference!$C$10,0)))+IF(W104&gt;=Reference!$B$13,Reference!$C$13,0)+IF(V104&gt;=Reference!$B$15,Reference!$C$15,IF(V104&gt;=Reference!$B$14,Reference!$C$14,0))))</f>
        <v>0</v>
      </c>
      <c r="Y104" s="12" t="str">
        <f>IF(X104="","",IF(X104&gt;=Reference!$B$6,"HIGH",IF(X104&gt;Reference!$B$5,"MODERATE","LOW")))</f>
        <v>LOW</v>
      </c>
    </row>
    <row r="105" ht="15" customHeight="1" spans="1:25">
      <c r="A105" s="20">
        <v>13</v>
      </c>
      <c r="B105" s="21" t="str">
        <f>INDEX(Participants!$B$6:$B$20,A105)</f>
        <v>Tejnoor Singh</v>
      </c>
      <c r="C105" s="20">
        <v>4</v>
      </c>
      <c r="D105" s="22">
        <v>0.369212962962963</v>
      </c>
      <c r="E105" s="8" t="s">
        <v>77</v>
      </c>
      <c r="F105" s="8">
        <v>2501</v>
      </c>
      <c r="G105" s="8">
        <v>972</v>
      </c>
      <c r="H105" s="8">
        <v>252</v>
      </c>
      <c r="I105" s="10">
        <v>-0.12</v>
      </c>
      <c r="J105" s="10">
        <v>0.1</v>
      </c>
      <c r="K105" s="10">
        <v>1.11</v>
      </c>
      <c r="L105" s="23">
        <v>9.6</v>
      </c>
      <c r="M105" s="23">
        <v>3.7</v>
      </c>
      <c r="N105" s="23">
        <v>4.3</v>
      </c>
      <c r="O105" s="23">
        <v>-6.7</v>
      </c>
      <c r="P105" s="23">
        <v>1.9</v>
      </c>
      <c r="Q105" s="8">
        <v>181</v>
      </c>
      <c r="R105" s="8">
        <v>7</v>
      </c>
      <c r="S105" s="8" t="s">
        <v>74</v>
      </c>
      <c r="T105" s="16">
        <f t="shared" si="11"/>
        <v>1.12093710795923</v>
      </c>
      <c r="U105" s="17">
        <f t="shared" si="12"/>
        <v>11.1507847257491</v>
      </c>
      <c r="V105" s="17">
        <f t="shared" si="13"/>
        <v>6.96419413859206</v>
      </c>
      <c r="W105" s="16">
        <f t="shared" si="18"/>
        <v>0.0595700649434774</v>
      </c>
      <c r="X105" s="12">
        <f>IF(OR(T105="",U105="",V105=""),"",MIN(100,IF(T105&gt;=Reference!$B$9,Reference!$C$9,IF(T105&gt;=Reference!$B$8,Reference!$C$8,IF(T105&gt;=Reference!$B$7,Reference!$C$7,0)))+IF(U105&gt;=Reference!$B$12,Reference!$C$12,IF(U105&gt;=Reference!$B$11,Reference!$C$11,IF(U105&gt;=Reference!$B$10,Reference!$C$10,0)))+IF(W105&gt;=Reference!$B$13,Reference!$C$13,0)+IF(V105&gt;=Reference!$B$15,Reference!$C$15,IF(V105&gt;=Reference!$B$14,Reference!$C$14,0))))</f>
        <v>0</v>
      </c>
      <c r="Y105" s="12" t="str">
        <f>IF(X105="","",IF(X105&gt;=Reference!$B$6,"HIGH",IF(X105&gt;Reference!$B$5,"MODERATE","LOW")))</f>
        <v>LOW</v>
      </c>
    </row>
    <row r="106" ht="15" customHeight="1" spans="1:25">
      <c r="A106" s="20">
        <v>13</v>
      </c>
      <c r="B106" s="21" t="str">
        <f>INDEX(Participants!$B$6:$B$20,A106)</f>
        <v>Tejnoor Singh</v>
      </c>
      <c r="C106" s="20">
        <v>5</v>
      </c>
      <c r="D106" s="22">
        <v>0.369305555555556</v>
      </c>
      <c r="E106" s="8" t="s">
        <v>78</v>
      </c>
      <c r="F106" s="8">
        <v>89</v>
      </c>
      <c r="G106" s="8">
        <v>61</v>
      </c>
      <c r="H106" s="8">
        <v>36</v>
      </c>
      <c r="I106" s="10">
        <v>0.02</v>
      </c>
      <c r="J106" s="10">
        <v>0.03</v>
      </c>
      <c r="K106" s="10">
        <v>0.97</v>
      </c>
      <c r="L106" s="23">
        <v>13.3</v>
      </c>
      <c r="M106" s="23">
        <v>5.2</v>
      </c>
      <c r="N106" s="23">
        <v>6.5</v>
      </c>
      <c r="O106" s="23">
        <v>-10.7</v>
      </c>
      <c r="P106" s="23">
        <v>2.3</v>
      </c>
      <c r="Q106" s="8">
        <v>167</v>
      </c>
      <c r="R106" s="8">
        <v>7</v>
      </c>
      <c r="S106" s="8" t="s">
        <v>74</v>
      </c>
      <c r="T106" s="16">
        <f t="shared" si="11"/>
        <v>0.97066987178958</v>
      </c>
      <c r="U106" s="17">
        <f t="shared" si="12"/>
        <v>15.6901242824906</v>
      </c>
      <c r="V106" s="17">
        <f t="shared" si="13"/>
        <v>10.9444049632678</v>
      </c>
      <c r="W106" s="16">
        <f t="shared" si="18"/>
        <v>0.150267236169649</v>
      </c>
      <c r="X106" s="12">
        <f>IF(OR(T106="",U106="",V106=""),"",MIN(100,IF(T106&gt;=Reference!$B$9,Reference!$C$9,IF(T106&gt;=Reference!$B$8,Reference!$C$8,IF(T106&gt;=Reference!$B$7,Reference!$C$7,0)))+IF(U106&gt;=Reference!$B$12,Reference!$C$12,IF(U106&gt;=Reference!$B$11,Reference!$C$11,IF(U106&gt;=Reference!$B$10,Reference!$C$10,0)))+IF(W106&gt;=Reference!$B$13,Reference!$C$13,0)+IF(V106&gt;=Reference!$B$15,Reference!$C$15,IF(V106&gt;=Reference!$B$14,Reference!$C$14,0))))</f>
        <v>5</v>
      </c>
      <c r="Y106" s="12" t="str">
        <f>IF(X106="","",IF(X106&gt;=Reference!$B$6,"HIGH",IF(X106&gt;Reference!$B$5,"MODERATE","LOW")))</f>
        <v>LOW</v>
      </c>
    </row>
    <row r="107" ht="15" customHeight="1" spans="1:25">
      <c r="A107" s="20">
        <v>13</v>
      </c>
      <c r="B107" s="21" t="str">
        <f>INDEX(Participants!$B$6:$B$20,A107)</f>
        <v>Tejnoor Singh</v>
      </c>
      <c r="C107" s="20">
        <v>6</v>
      </c>
      <c r="D107" s="22">
        <v>0.369398148148148</v>
      </c>
      <c r="E107" s="8" t="s">
        <v>73</v>
      </c>
      <c r="F107" s="8">
        <v>382</v>
      </c>
      <c r="G107" s="8">
        <v>440</v>
      </c>
      <c r="H107" s="8">
        <v>2854</v>
      </c>
      <c r="I107" s="10">
        <v>0.11</v>
      </c>
      <c r="J107" s="10">
        <v>0.05</v>
      </c>
      <c r="K107" s="10">
        <v>1.05</v>
      </c>
      <c r="L107" s="23">
        <v>4.8</v>
      </c>
      <c r="M107" s="23">
        <v>2.7</v>
      </c>
      <c r="N107" s="23">
        <v>3.1</v>
      </c>
      <c r="O107" s="23">
        <v>3.1</v>
      </c>
      <c r="P107" s="23">
        <v>1.1</v>
      </c>
      <c r="Q107" s="8">
        <v>263</v>
      </c>
      <c r="R107" s="8">
        <v>7</v>
      </c>
      <c r="S107" s="8" t="s">
        <v>74</v>
      </c>
      <c r="T107" s="16">
        <f t="shared" si="11"/>
        <v>1.05692951515226</v>
      </c>
      <c r="U107" s="17">
        <f t="shared" si="12"/>
        <v>6.31981012372998</v>
      </c>
      <c r="V107" s="17">
        <f t="shared" si="13"/>
        <v>3.28937684067971</v>
      </c>
      <c r="W107" s="16">
        <f t="shared" si="18"/>
        <v>0.0862596433626839</v>
      </c>
      <c r="X107" s="12">
        <f>IF(OR(T107="",U107="",V107=""),"",MIN(100,IF(T107&gt;=Reference!$B$9,Reference!$C$9,IF(T107&gt;=Reference!$B$8,Reference!$C$8,IF(T107&gt;=Reference!$B$7,Reference!$C$7,0)))+IF(U107&gt;=Reference!$B$12,Reference!$C$12,IF(U107&gt;=Reference!$B$11,Reference!$C$11,IF(U107&gt;=Reference!$B$10,Reference!$C$10,0)))+IF(W107&gt;=Reference!$B$13,Reference!$C$13,0)+IF(V107&gt;=Reference!$B$15,Reference!$C$15,IF(V107&gt;=Reference!$B$14,Reference!$C$14,0))))</f>
        <v>0</v>
      </c>
      <c r="Y107" s="12" t="str">
        <f>IF(X107="","",IF(X107&gt;=Reference!$B$6,"HIGH",IF(X107&gt;Reference!$B$5,"MODERATE","LOW")))</f>
        <v>LOW</v>
      </c>
    </row>
    <row r="108" ht="15" customHeight="1" spans="1:25">
      <c r="A108" s="20">
        <v>13</v>
      </c>
      <c r="B108" s="21" t="str">
        <f>INDEX(Participants!$B$6:$B$20,A108)</f>
        <v>Tejnoor Singh</v>
      </c>
      <c r="C108" s="20">
        <v>7</v>
      </c>
      <c r="D108" s="22">
        <v>0.369456018518519</v>
      </c>
      <c r="E108" s="8" t="s">
        <v>75</v>
      </c>
      <c r="F108" s="8">
        <v>1041</v>
      </c>
      <c r="G108" s="8">
        <v>1498</v>
      </c>
      <c r="H108" s="8">
        <v>2118</v>
      </c>
      <c r="I108" s="10">
        <v>0.02</v>
      </c>
      <c r="J108" s="10">
        <v>-0.01</v>
      </c>
      <c r="K108" s="10">
        <v>1.01</v>
      </c>
      <c r="L108" s="23">
        <v>2.1</v>
      </c>
      <c r="M108" s="23">
        <v>0.8</v>
      </c>
      <c r="N108" s="23">
        <v>0.6</v>
      </c>
      <c r="O108" s="23">
        <v>1.1</v>
      </c>
      <c r="P108" s="23">
        <v>0.7</v>
      </c>
      <c r="Q108" s="8">
        <v>230</v>
      </c>
      <c r="R108" s="8">
        <v>6</v>
      </c>
      <c r="S108" s="8" t="s">
        <v>74</v>
      </c>
      <c r="T108" s="16">
        <f t="shared" si="11"/>
        <v>1.01024749442896</v>
      </c>
      <c r="U108" s="17">
        <f t="shared" si="12"/>
        <v>2.3259406699226</v>
      </c>
      <c r="V108" s="17">
        <f t="shared" si="13"/>
        <v>1.30384048104053</v>
      </c>
      <c r="W108" s="16">
        <f t="shared" si="18"/>
        <v>0.0466820207232999</v>
      </c>
      <c r="X108" s="12">
        <f>IF(OR(T108="",U108="",V108=""),"",MIN(100,IF(T108&gt;=Reference!$B$9,Reference!$C$9,IF(T108&gt;=Reference!$B$8,Reference!$C$8,IF(T108&gt;=Reference!$B$7,Reference!$C$7,0)))+IF(U108&gt;=Reference!$B$12,Reference!$C$12,IF(U108&gt;=Reference!$B$11,Reference!$C$11,IF(U108&gt;=Reference!$B$10,Reference!$C$10,0)))+IF(W108&gt;=Reference!$B$13,Reference!$C$13,0)+IF(V108&gt;=Reference!$B$15,Reference!$C$15,IF(V108&gt;=Reference!$B$14,Reference!$C$14,0))))</f>
        <v>0</v>
      </c>
      <c r="Y108" s="12" t="str">
        <f>IF(X108="","",IF(X108&gt;=Reference!$B$6,"HIGH",IF(X108&gt;Reference!$B$5,"MODERATE","LOW")))</f>
        <v>LOW</v>
      </c>
    </row>
    <row r="109" ht="15" customHeight="1" spans="1:25">
      <c r="A109" s="24">
        <v>13</v>
      </c>
      <c r="B109" s="25" t="str">
        <f>INDEX(Participants!$B$6:$B$20,A109)</f>
        <v>Tejnoor Singh</v>
      </c>
      <c r="C109" s="24">
        <v>8</v>
      </c>
      <c r="D109" s="26">
        <v>0.369583333333333</v>
      </c>
      <c r="E109" s="27" t="s">
        <v>77</v>
      </c>
      <c r="F109" s="27">
        <v>2642</v>
      </c>
      <c r="G109" s="27">
        <v>928</v>
      </c>
      <c r="H109" s="27">
        <v>219</v>
      </c>
      <c r="I109" s="28">
        <v>-0.13</v>
      </c>
      <c r="J109" s="28">
        <v>0.05</v>
      </c>
      <c r="K109" s="28">
        <v>1.08</v>
      </c>
      <c r="L109" s="29">
        <v>10.5</v>
      </c>
      <c r="M109" s="29">
        <v>3.3</v>
      </c>
      <c r="N109" s="29">
        <v>4.5</v>
      </c>
      <c r="O109" s="29">
        <v>-6.3</v>
      </c>
      <c r="P109" s="29">
        <v>2</v>
      </c>
      <c r="Q109" s="27">
        <v>222</v>
      </c>
      <c r="R109" s="27">
        <v>7</v>
      </c>
      <c r="S109" s="27" t="s">
        <v>74</v>
      </c>
      <c r="T109" s="30">
        <f t="shared" si="11"/>
        <v>1.08894444302728</v>
      </c>
      <c r="U109" s="31">
        <f t="shared" si="12"/>
        <v>11.8907527095638</v>
      </c>
      <c r="V109" s="31">
        <f t="shared" si="13"/>
        <v>6.6098411478643</v>
      </c>
      <c r="W109" s="30">
        <f t="shared" si="18"/>
        <v>0.0786969485983191</v>
      </c>
      <c r="X109" s="32">
        <f>IF(OR(T109="",U109="",V109=""),"",MIN(100,IF(T109&gt;=Reference!$B$9,Reference!$C$9,IF(T109&gt;=Reference!$B$8,Reference!$C$8,IF(T109&gt;=Reference!$B$7,Reference!$C$7,0)))+IF(U109&gt;=Reference!$B$12,Reference!$C$12,IF(U109&gt;=Reference!$B$11,Reference!$C$11,IF(U109&gt;=Reference!$B$10,Reference!$C$10,0)))+IF(W109&gt;=Reference!$B$13,Reference!$C$13,0)+IF(V109&gt;=Reference!$B$15,Reference!$C$15,IF(V109&gt;=Reference!$B$14,Reference!$C$14,0))))</f>
        <v>0</v>
      </c>
      <c r="Y109" s="32" t="str">
        <f>IF(X109="","",IF(X109&gt;=Reference!$B$6,"HIGH",IF(X109&gt;Reference!$B$5,"MODERATE","LOW")))</f>
        <v>LOW</v>
      </c>
    </row>
    <row r="110" ht="15" customHeight="1" spans="1:25">
      <c r="A110" s="20">
        <v>14</v>
      </c>
      <c r="B110" s="21" t="str">
        <f>INDEX(Participants!$B$6:$B$20,A110)</f>
        <v>Ramit Joshi</v>
      </c>
      <c r="C110" s="20">
        <v>1</v>
      </c>
      <c r="D110" s="22">
        <v>0.453101851851852</v>
      </c>
      <c r="E110" s="8" t="s">
        <v>88</v>
      </c>
      <c r="F110" s="8">
        <v>218</v>
      </c>
      <c r="G110" s="8">
        <v>140</v>
      </c>
      <c r="H110" s="8">
        <v>264</v>
      </c>
      <c r="I110" s="10">
        <v>-0.01</v>
      </c>
      <c r="J110" s="10">
        <v>0.02</v>
      </c>
      <c r="K110" s="10">
        <v>1.01</v>
      </c>
      <c r="L110" s="23">
        <v>0.6</v>
      </c>
      <c r="M110" s="23">
        <v>0</v>
      </c>
      <c r="N110" s="23">
        <v>0.1</v>
      </c>
      <c r="O110" s="23">
        <v>12.7</v>
      </c>
      <c r="P110" s="23">
        <v>3.1</v>
      </c>
      <c r="Q110" s="8">
        <v>52</v>
      </c>
      <c r="R110" s="8">
        <v>0</v>
      </c>
      <c r="S110" s="8" t="s">
        <v>81</v>
      </c>
      <c r="T110" s="16">
        <f t="shared" si="11"/>
        <v>1.01024749442896</v>
      </c>
      <c r="U110" s="17">
        <f t="shared" si="12"/>
        <v>0.608276253029822</v>
      </c>
      <c r="V110" s="17">
        <f t="shared" si="13"/>
        <v>13.0728726758888</v>
      </c>
      <c r="W110" s="16">
        <f>IF(T110="","",0)</f>
        <v>0</v>
      </c>
      <c r="X110" s="12">
        <f>IF(OR(T110="",U110="",V110=""),"",MIN(100,IF(T110&gt;=Reference!$B$9,Reference!$C$9,IF(T110&gt;=Reference!$B$8,Reference!$C$8,IF(T110&gt;=Reference!$B$7,Reference!$C$7,0)))+IF(U110&gt;=Reference!$B$12,Reference!$C$12,IF(U110&gt;=Reference!$B$11,Reference!$C$11,IF(U110&gt;=Reference!$B$10,Reference!$C$10,0)))+IF(W110&gt;=Reference!$B$13,Reference!$C$13,0)+IF(V110&gt;=Reference!$B$15,Reference!$C$15,IF(V110&gt;=Reference!$B$14,Reference!$C$14,0))))</f>
        <v>5</v>
      </c>
      <c r="Y110" s="12" t="str">
        <f>IF(X110="","",IF(X110&gt;=Reference!$B$6,"HIGH",IF(X110&gt;Reference!$B$5,"MODERATE","LOW")))</f>
        <v>LOW</v>
      </c>
    </row>
    <row r="111" ht="15" customHeight="1" spans="1:25">
      <c r="A111" s="20">
        <v>14</v>
      </c>
      <c r="B111" s="21" t="str">
        <f>INDEX(Participants!$B$6:$B$20,A111)</f>
        <v>Ramit Joshi</v>
      </c>
      <c r="C111" s="20">
        <v>2</v>
      </c>
      <c r="D111" s="22">
        <v>0.453263888888889</v>
      </c>
      <c r="E111" s="8" t="s">
        <v>88</v>
      </c>
      <c r="F111" s="8">
        <v>212</v>
      </c>
      <c r="G111" s="8">
        <v>110</v>
      </c>
      <c r="H111" s="8">
        <v>243</v>
      </c>
      <c r="I111" s="10">
        <v>0.01</v>
      </c>
      <c r="J111" s="10">
        <v>0</v>
      </c>
      <c r="K111" s="10">
        <v>1.01</v>
      </c>
      <c r="L111" s="23">
        <v>0.1</v>
      </c>
      <c r="M111" s="23">
        <v>0.2</v>
      </c>
      <c r="N111" s="23">
        <v>0.5</v>
      </c>
      <c r="O111" s="23">
        <v>10.7</v>
      </c>
      <c r="P111" s="23">
        <v>3.6</v>
      </c>
      <c r="Q111" s="8">
        <v>48</v>
      </c>
      <c r="R111" s="8">
        <v>0</v>
      </c>
      <c r="S111" s="8" t="s">
        <v>81</v>
      </c>
      <c r="T111" s="16">
        <f t="shared" si="11"/>
        <v>1.01004950373732</v>
      </c>
      <c r="U111" s="17">
        <f t="shared" si="12"/>
        <v>0.547722557505166</v>
      </c>
      <c r="V111" s="17">
        <f t="shared" si="13"/>
        <v>11.2893755363173</v>
      </c>
      <c r="W111" s="16">
        <f t="shared" ref="W111:W117" si="19">IF(T111="","",IF(T110="",0,ABS(T111-T110)))</f>
        <v>0.000197990691647387</v>
      </c>
      <c r="X111" s="12">
        <f>IF(OR(T111="",U111="",V111=""),"",MIN(100,IF(T111&gt;=Reference!$B$9,Reference!$C$9,IF(T111&gt;=Reference!$B$8,Reference!$C$8,IF(T111&gt;=Reference!$B$7,Reference!$C$7,0)))+IF(U111&gt;=Reference!$B$12,Reference!$C$12,IF(U111&gt;=Reference!$B$11,Reference!$C$11,IF(U111&gt;=Reference!$B$10,Reference!$C$10,0)))+IF(W111&gt;=Reference!$B$13,Reference!$C$13,0)+IF(V111&gt;=Reference!$B$15,Reference!$C$15,IF(V111&gt;=Reference!$B$14,Reference!$C$14,0))))</f>
        <v>5</v>
      </c>
      <c r="Y111" s="12" t="str">
        <f>IF(X111="","",IF(X111&gt;=Reference!$B$6,"HIGH",IF(X111&gt;Reference!$B$5,"MODERATE","LOW")))</f>
        <v>LOW</v>
      </c>
    </row>
    <row r="112" ht="15" customHeight="1" spans="1:25">
      <c r="A112" s="20">
        <v>14</v>
      </c>
      <c r="B112" s="21" t="str">
        <f>INDEX(Participants!$B$6:$B$20,A112)</f>
        <v>Ramit Joshi</v>
      </c>
      <c r="C112" s="20">
        <v>3</v>
      </c>
      <c r="D112" s="22">
        <v>0.453530092592593</v>
      </c>
      <c r="E112" s="8" t="s">
        <v>88</v>
      </c>
      <c r="F112" s="8">
        <v>230</v>
      </c>
      <c r="G112" s="8">
        <v>158</v>
      </c>
      <c r="H112" s="8">
        <v>300</v>
      </c>
      <c r="I112" s="10">
        <v>-0.01</v>
      </c>
      <c r="J112" s="10">
        <v>0.03</v>
      </c>
      <c r="K112" s="10">
        <v>1.01</v>
      </c>
      <c r="L112" s="23">
        <v>0.4</v>
      </c>
      <c r="M112" s="23">
        <v>-0.1</v>
      </c>
      <c r="N112" s="23">
        <v>-0.4</v>
      </c>
      <c r="O112" s="23">
        <v>11.1</v>
      </c>
      <c r="P112" s="23">
        <v>2.6</v>
      </c>
      <c r="Q112" s="8">
        <v>51</v>
      </c>
      <c r="R112" s="8">
        <v>0</v>
      </c>
      <c r="S112" s="8" t="s">
        <v>81</v>
      </c>
      <c r="T112" s="16">
        <f t="shared" si="11"/>
        <v>1.01049492824061</v>
      </c>
      <c r="U112" s="17">
        <f t="shared" si="12"/>
        <v>0.574456264653803</v>
      </c>
      <c r="V112" s="17">
        <f t="shared" si="13"/>
        <v>11.4004385880544</v>
      </c>
      <c r="W112" s="16">
        <f t="shared" si="19"/>
        <v>0.000445424503295433</v>
      </c>
      <c r="X112" s="12">
        <f>IF(OR(T112="",U112="",V112=""),"",MIN(100,IF(T112&gt;=Reference!$B$9,Reference!$C$9,IF(T112&gt;=Reference!$B$8,Reference!$C$8,IF(T112&gt;=Reference!$B$7,Reference!$C$7,0)))+IF(U112&gt;=Reference!$B$12,Reference!$C$12,IF(U112&gt;=Reference!$B$11,Reference!$C$11,IF(U112&gt;=Reference!$B$10,Reference!$C$10,0)))+IF(W112&gt;=Reference!$B$13,Reference!$C$13,0)+IF(V112&gt;=Reference!$B$15,Reference!$C$15,IF(V112&gt;=Reference!$B$14,Reference!$C$14,0))))</f>
        <v>5</v>
      </c>
      <c r="Y112" s="12" t="str">
        <f>IF(X112="","",IF(X112&gt;=Reference!$B$6,"HIGH",IF(X112&gt;Reference!$B$5,"MODERATE","LOW")))</f>
        <v>LOW</v>
      </c>
    </row>
    <row r="113" ht="15" customHeight="1" spans="1:25">
      <c r="A113" s="20">
        <v>14</v>
      </c>
      <c r="B113" s="21" t="str">
        <f>INDEX(Participants!$B$6:$B$20,A113)</f>
        <v>Ramit Joshi</v>
      </c>
      <c r="C113" s="20">
        <v>4</v>
      </c>
      <c r="D113" s="22">
        <v>0.453726851851852</v>
      </c>
      <c r="E113" s="8" t="s">
        <v>89</v>
      </c>
      <c r="F113" s="8">
        <v>465</v>
      </c>
      <c r="G113" s="8">
        <v>246</v>
      </c>
      <c r="H113" s="8">
        <v>294</v>
      </c>
      <c r="I113" s="10">
        <v>0.04</v>
      </c>
      <c r="J113" s="10">
        <v>0.04</v>
      </c>
      <c r="K113" s="10">
        <v>1.01</v>
      </c>
      <c r="L113" s="23">
        <v>3.1</v>
      </c>
      <c r="M113" s="23">
        <v>1.1</v>
      </c>
      <c r="N113" s="23">
        <v>1.2</v>
      </c>
      <c r="O113" s="23">
        <v>10.1</v>
      </c>
      <c r="P113" s="23">
        <v>3.6</v>
      </c>
      <c r="Q113" s="8">
        <v>64</v>
      </c>
      <c r="R113" s="8">
        <v>0</v>
      </c>
      <c r="S113" s="8" t="s">
        <v>81</v>
      </c>
      <c r="T113" s="16">
        <f t="shared" si="11"/>
        <v>1.01158291800524</v>
      </c>
      <c r="U113" s="17">
        <f t="shared" si="12"/>
        <v>3.50142828000232</v>
      </c>
      <c r="V113" s="17">
        <f t="shared" si="13"/>
        <v>10.7224064463161</v>
      </c>
      <c r="W113" s="16">
        <f t="shared" si="19"/>
        <v>0.00108798976462987</v>
      </c>
      <c r="X113" s="12">
        <f>IF(OR(T113="",U113="",V113=""),"",MIN(100,IF(T113&gt;=Reference!$B$9,Reference!$C$9,IF(T113&gt;=Reference!$B$8,Reference!$C$8,IF(T113&gt;=Reference!$B$7,Reference!$C$7,0)))+IF(U113&gt;=Reference!$B$12,Reference!$C$12,IF(U113&gt;=Reference!$B$11,Reference!$C$11,IF(U113&gt;=Reference!$B$10,Reference!$C$10,0)))+IF(W113&gt;=Reference!$B$13,Reference!$C$13,0)+IF(V113&gt;=Reference!$B$15,Reference!$C$15,IF(V113&gt;=Reference!$B$14,Reference!$C$14,0))))</f>
        <v>5</v>
      </c>
      <c r="Y113" s="12" t="str">
        <f>IF(X113="","",IF(X113&gt;=Reference!$B$6,"HIGH",IF(X113&gt;Reference!$B$5,"MODERATE","LOW")))</f>
        <v>LOW</v>
      </c>
    </row>
    <row r="114" ht="15" customHeight="1" spans="1:25">
      <c r="A114" s="20">
        <v>14</v>
      </c>
      <c r="B114" s="21" t="str">
        <f>INDEX(Participants!$B$6:$B$20,A114)</f>
        <v>Ramit Joshi</v>
      </c>
      <c r="C114" s="20">
        <v>5</v>
      </c>
      <c r="D114" s="22">
        <v>0.45400462962963</v>
      </c>
      <c r="E114" s="8" t="s">
        <v>88</v>
      </c>
      <c r="F114" s="8">
        <v>222</v>
      </c>
      <c r="G114" s="8">
        <v>145</v>
      </c>
      <c r="H114" s="8">
        <v>257</v>
      </c>
      <c r="I114" s="10">
        <v>0.01</v>
      </c>
      <c r="J114" s="10">
        <v>0</v>
      </c>
      <c r="K114" s="10">
        <v>0.98</v>
      </c>
      <c r="L114" s="23">
        <v>-0.1</v>
      </c>
      <c r="M114" s="23">
        <v>-0.1</v>
      </c>
      <c r="N114" s="23">
        <v>0.4</v>
      </c>
      <c r="O114" s="23">
        <v>11.4</v>
      </c>
      <c r="P114" s="23">
        <v>2.8</v>
      </c>
      <c r="Q114" s="8">
        <v>78</v>
      </c>
      <c r="R114" s="8">
        <v>0</v>
      </c>
      <c r="S114" s="8" t="s">
        <v>81</v>
      </c>
      <c r="T114" s="16">
        <f t="shared" si="11"/>
        <v>0.980051019080129</v>
      </c>
      <c r="U114" s="17">
        <f t="shared" si="12"/>
        <v>0.424264068711929</v>
      </c>
      <c r="V114" s="17">
        <f t="shared" si="13"/>
        <v>11.7388244726634</v>
      </c>
      <c r="W114" s="16">
        <f t="shared" si="19"/>
        <v>0.0315318989251128</v>
      </c>
      <c r="X114" s="12">
        <f>IF(OR(T114="",U114="",V114=""),"",MIN(100,IF(T114&gt;=Reference!$B$9,Reference!$C$9,IF(T114&gt;=Reference!$B$8,Reference!$C$8,IF(T114&gt;=Reference!$B$7,Reference!$C$7,0)))+IF(U114&gt;=Reference!$B$12,Reference!$C$12,IF(U114&gt;=Reference!$B$11,Reference!$C$11,IF(U114&gt;=Reference!$B$10,Reference!$C$10,0)))+IF(W114&gt;=Reference!$B$13,Reference!$C$13,0)+IF(V114&gt;=Reference!$B$15,Reference!$C$15,IF(V114&gt;=Reference!$B$14,Reference!$C$14,0))))</f>
        <v>5</v>
      </c>
      <c r="Y114" s="12" t="str">
        <f>IF(X114="","",IF(X114&gt;=Reference!$B$6,"HIGH",IF(X114&gt;Reference!$B$5,"MODERATE","LOW")))</f>
        <v>LOW</v>
      </c>
    </row>
    <row r="115" ht="15" customHeight="1" spans="1:25">
      <c r="A115" s="20">
        <v>14</v>
      </c>
      <c r="B115" s="21" t="str">
        <f>INDEX(Participants!$B$6:$B$20,A115)</f>
        <v>Ramit Joshi</v>
      </c>
      <c r="C115" s="20">
        <v>6</v>
      </c>
      <c r="D115" s="22">
        <v>0.454247685185185</v>
      </c>
      <c r="E115" s="8" t="s">
        <v>88</v>
      </c>
      <c r="F115" s="8">
        <v>211</v>
      </c>
      <c r="G115" s="8">
        <v>157</v>
      </c>
      <c r="H115" s="8">
        <v>267</v>
      </c>
      <c r="I115" s="10">
        <v>0.01</v>
      </c>
      <c r="J115" s="10">
        <v>0</v>
      </c>
      <c r="K115" s="10">
        <v>1.01</v>
      </c>
      <c r="L115" s="23">
        <v>0.5</v>
      </c>
      <c r="M115" s="23">
        <v>0.1</v>
      </c>
      <c r="N115" s="23">
        <v>0.2</v>
      </c>
      <c r="O115" s="23">
        <v>13.1</v>
      </c>
      <c r="P115" s="23">
        <v>3.3</v>
      </c>
      <c r="Q115" s="8">
        <v>63</v>
      </c>
      <c r="R115" s="8">
        <v>0</v>
      </c>
      <c r="S115" s="8" t="s">
        <v>81</v>
      </c>
      <c r="T115" s="16">
        <f t="shared" si="11"/>
        <v>1.01004950373732</v>
      </c>
      <c r="U115" s="17">
        <f t="shared" si="12"/>
        <v>0.547722557505166</v>
      </c>
      <c r="V115" s="17">
        <f t="shared" si="13"/>
        <v>13.5092560861063</v>
      </c>
      <c r="W115" s="16">
        <f t="shared" si="19"/>
        <v>0.0299984846571875</v>
      </c>
      <c r="X115" s="12">
        <f>IF(OR(T115="",U115="",V115=""),"",MIN(100,IF(T115&gt;=Reference!$B$9,Reference!$C$9,IF(T115&gt;=Reference!$B$8,Reference!$C$8,IF(T115&gt;=Reference!$B$7,Reference!$C$7,0)))+IF(U115&gt;=Reference!$B$12,Reference!$C$12,IF(U115&gt;=Reference!$B$11,Reference!$C$11,IF(U115&gt;=Reference!$B$10,Reference!$C$10,0)))+IF(W115&gt;=Reference!$B$13,Reference!$C$13,0)+IF(V115&gt;=Reference!$B$15,Reference!$C$15,IF(V115&gt;=Reference!$B$14,Reference!$C$14,0))))</f>
        <v>5</v>
      </c>
      <c r="Y115" s="12" t="str">
        <f>IF(X115="","",IF(X115&gt;=Reference!$B$6,"HIGH",IF(X115&gt;Reference!$B$5,"MODERATE","LOW")))</f>
        <v>LOW</v>
      </c>
    </row>
    <row r="116" ht="15" customHeight="1" spans="1:25">
      <c r="A116" s="20">
        <v>14</v>
      </c>
      <c r="B116" s="21" t="str">
        <f>INDEX(Participants!$B$6:$B$20,A116)</f>
        <v>Ramit Joshi</v>
      </c>
      <c r="C116" s="20">
        <v>7</v>
      </c>
      <c r="D116" s="22">
        <v>0.454467592592593</v>
      </c>
      <c r="E116" s="8" t="s">
        <v>88</v>
      </c>
      <c r="F116" s="8">
        <v>225</v>
      </c>
      <c r="G116" s="8">
        <v>114</v>
      </c>
      <c r="H116" s="8">
        <v>262</v>
      </c>
      <c r="I116" s="10">
        <v>-0.01</v>
      </c>
      <c r="J116" s="10">
        <v>0</v>
      </c>
      <c r="K116" s="10">
        <v>1</v>
      </c>
      <c r="L116" s="23">
        <v>0.5</v>
      </c>
      <c r="M116" s="23">
        <v>0.4</v>
      </c>
      <c r="N116" s="23">
        <v>0.5</v>
      </c>
      <c r="O116" s="23">
        <v>11.4</v>
      </c>
      <c r="P116" s="23">
        <v>3.4</v>
      </c>
      <c r="Q116" s="8">
        <v>58</v>
      </c>
      <c r="R116" s="8">
        <v>0</v>
      </c>
      <c r="S116" s="8" t="s">
        <v>81</v>
      </c>
      <c r="T116" s="16">
        <f t="shared" si="11"/>
        <v>1.00004999875006</v>
      </c>
      <c r="U116" s="17">
        <f t="shared" si="12"/>
        <v>0.812403840463596</v>
      </c>
      <c r="V116" s="17">
        <f t="shared" si="13"/>
        <v>11.8962178863704</v>
      </c>
      <c r="W116" s="16">
        <f t="shared" si="19"/>
        <v>0.00999950498725433</v>
      </c>
      <c r="X116" s="12">
        <f>IF(OR(T116="",U116="",V116=""),"",MIN(100,IF(T116&gt;=Reference!$B$9,Reference!$C$9,IF(T116&gt;=Reference!$B$8,Reference!$C$8,IF(T116&gt;=Reference!$B$7,Reference!$C$7,0)))+IF(U116&gt;=Reference!$B$12,Reference!$C$12,IF(U116&gt;=Reference!$B$11,Reference!$C$11,IF(U116&gt;=Reference!$B$10,Reference!$C$10,0)))+IF(W116&gt;=Reference!$B$13,Reference!$C$13,0)+IF(V116&gt;=Reference!$B$15,Reference!$C$15,IF(V116&gt;=Reference!$B$14,Reference!$C$14,0))))</f>
        <v>5</v>
      </c>
      <c r="Y116" s="12" t="str">
        <f>IF(X116="","",IF(X116&gt;=Reference!$B$6,"HIGH",IF(X116&gt;Reference!$B$5,"MODERATE","LOW")))</f>
        <v>LOW</v>
      </c>
    </row>
    <row r="117" ht="15" customHeight="1" spans="1:25">
      <c r="A117" s="24">
        <v>14</v>
      </c>
      <c r="B117" s="25" t="str">
        <f>INDEX(Participants!$B$6:$B$20,A117)</f>
        <v>Ramit Joshi</v>
      </c>
      <c r="C117" s="24">
        <v>8</v>
      </c>
      <c r="D117" s="26">
        <v>0.4546875</v>
      </c>
      <c r="E117" s="27" t="s">
        <v>88</v>
      </c>
      <c r="F117" s="27">
        <v>233</v>
      </c>
      <c r="G117" s="27">
        <v>122</v>
      </c>
      <c r="H117" s="27">
        <v>255</v>
      </c>
      <c r="I117" s="28">
        <v>0.01</v>
      </c>
      <c r="J117" s="28">
        <v>0</v>
      </c>
      <c r="K117" s="28">
        <v>0.99</v>
      </c>
      <c r="L117" s="29">
        <v>-0.2</v>
      </c>
      <c r="M117" s="29">
        <v>-0.4</v>
      </c>
      <c r="N117" s="29">
        <v>-0.4</v>
      </c>
      <c r="O117" s="29">
        <v>11.7</v>
      </c>
      <c r="P117" s="29">
        <v>3.5</v>
      </c>
      <c r="Q117" s="27">
        <v>53</v>
      </c>
      <c r="R117" s="27">
        <v>0</v>
      </c>
      <c r="S117" s="27" t="s">
        <v>81</v>
      </c>
      <c r="T117" s="30">
        <f t="shared" si="11"/>
        <v>0.990050503762308</v>
      </c>
      <c r="U117" s="31">
        <f t="shared" si="12"/>
        <v>0.6</v>
      </c>
      <c r="V117" s="31">
        <f t="shared" si="13"/>
        <v>12.2122888927506</v>
      </c>
      <c r="W117" s="30">
        <f t="shared" si="19"/>
        <v>0.00999949498775432</v>
      </c>
      <c r="X117" s="32">
        <f>IF(OR(T117="",U117="",V117=""),"",MIN(100,IF(T117&gt;=Reference!$B$9,Reference!$C$9,IF(T117&gt;=Reference!$B$8,Reference!$C$8,IF(T117&gt;=Reference!$B$7,Reference!$C$7,0)))+IF(U117&gt;=Reference!$B$12,Reference!$C$12,IF(U117&gt;=Reference!$B$11,Reference!$C$11,IF(U117&gt;=Reference!$B$10,Reference!$C$10,0)))+IF(W117&gt;=Reference!$B$13,Reference!$C$13,0)+IF(V117&gt;=Reference!$B$15,Reference!$C$15,IF(V117&gt;=Reference!$B$14,Reference!$C$14,0))))</f>
        <v>5</v>
      </c>
      <c r="Y117" s="32" t="str">
        <f>IF(X117="","",IF(X117&gt;=Reference!$B$6,"HIGH",IF(X117&gt;Reference!$B$5,"MODERATE","LOW")))</f>
        <v>LOW</v>
      </c>
    </row>
    <row r="118" ht="15" customHeight="1" spans="1:25">
      <c r="A118" s="20">
        <v>15</v>
      </c>
      <c r="B118" s="21" t="str">
        <f>INDEX(Participants!$B$6:$B$20,A118)</f>
        <v>Kirtan Borana</v>
      </c>
      <c r="C118" s="20">
        <v>1</v>
      </c>
      <c r="D118" s="22">
        <v>0.398020833333333</v>
      </c>
      <c r="E118" s="8" t="s">
        <v>73</v>
      </c>
      <c r="F118" s="8">
        <v>343</v>
      </c>
      <c r="G118" s="8">
        <v>465</v>
      </c>
      <c r="H118" s="8">
        <v>3023</v>
      </c>
      <c r="I118" s="10">
        <v>0.05</v>
      </c>
      <c r="J118" s="10">
        <v>0.04</v>
      </c>
      <c r="K118" s="10">
        <v>1.05</v>
      </c>
      <c r="L118" s="23">
        <v>3.8</v>
      </c>
      <c r="M118" s="23">
        <v>1.5</v>
      </c>
      <c r="N118" s="23">
        <v>1.6</v>
      </c>
      <c r="O118" s="23">
        <v>3.3</v>
      </c>
      <c r="P118" s="23">
        <v>1.3</v>
      </c>
      <c r="Q118" s="8">
        <v>195</v>
      </c>
      <c r="R118" s="8">
        <v>7</v>
      </c>
      <c r="S118" s="8" t="s">
        <v>74</v>
      </c>
      <c r="T118" s="16">
        <f t="shared" si="11"/>
        <v>1.05195056918089</v>
      </c>
      <c r="U118" s="17">
        <f t="shared" si="12"/>
        <v>4.38748219369606</v>
      </c>
      <c r="V118" s="17">
        <f t="shared" si="13"/>
        <v>3.54682957019364</v>
      </c>
      <c r="W118" s="16">
        <f>IF(T118="","",0)</f>
        <v>0</v>
      </c>
      <c r="X118" s="12">
        <f>IF(OR(T118="",U118="",V118=""),"",MIN(100,IF(T118&gt;=Reference!$B$9,Reference!$C$9,IF(T118&gt;=Reference!$B$8,Reference!$C$8,IF(T118&gt;=Reference!$B$7,Reference!$C$7,0)))+IF(U118&gt;=Reference!$B$12,Reference!$C$12,IF(U118&gt;=Reference!$B$11,Reference!$C$11,IF(U118&gt;=Reference!$B$10,Reference!$C$10,0)))+IF(W118&gt;=Reference!$B$13,Reference!$C$13,0)+IF(V118&gt;=Reference!$B$15,Reference!$C$15,IF(V118&gt;=Reference!$B$14,Reference!$C$14,0))))</f>
        <v>0</v>
      </c>
      <c r="Y118" s="12" t="str">
        <f>IF(X118="","",IF(X118&gt;=Reference!$B$6,"HIGH",IF(X118&gt;Reference!$B$5,"MODERATE","LOW")))</f>
        <v>LOW</v>
      </c>
    </row>
    <row r="119" ht="15" customHeight="1" spans="1:25">
      <c r="A119" s="20">
        <v>15</v>
      </c>
      <c r="B119" s="21" t="str">
        <f>INDEX(Participants!$B$6:$B$20,A119)</f>
        <v>Kirtan Borana</v>
      </c>
      <c r="C119" s="20">
        <v>2</v>
      </c>
      <c r="D119" s="22">
        <v>0.398125</v>
      </c>
      <c r="E119" s="8" t="s">
        <v>75</v>
      </c>
      <c r="F119" s="8">
        <v>929</v>
      </c>
      <c r="G119" s="8">
        <v>1481</v>
      </c>
      <c r="H119" s="8">
        <v>2405</v>
      </c>
      <c r="I119" s="10">
        <v>0.05</v>
      </c>
      <c r="J119" s="10">
        <v>-0.04</v>
      </c>
      <c r="K119" s="10">
        <v>0.98</v>
      </c>
      <c r="L119" s="23">
        <v>2.6</v>
      </c>
      <c r="M119" s="23">
        <v>0.7</v>
      </c>
      <c r="N119" s="23">
        <v>1.4</v>
      </c>
      <c r="O119" s="23">
        <v>1.5</v>
      </c>
      <c r="P119" s="23">
        <v>0.8</v>
      </c>
      <c r="Q119" s="8">
        <v>181</v>
      </c>
      <c r="R119" s="8">
        <v>6</v>
      </c>
      <c r="S119" s="8" t="s">
        <v>74</v>
      </c>
      <c r="T119" s="16">
        <f t="shared" si="11"/>
        <v>0.982089608946149</v>
      </c>
      <c r="U119" s="17">
        <f t="shared" si="12"/>
        <v>3.0347981810987</v>
      </c>
      <c r="V119" s="17">
        <f t="shared" si="13"/>
        <v>1.7</v>
      </c>
      <c r="W119" s="16">
        <f t="shared" ref="W119:W125" si="20">IF(T119="","",IF(T118="",0,ABS(T119-T118)))</f>
        <v>0.0698609602347418</v>
      </c>
      <c r="X119" s="12">
        <f>IF(OR(T119="",U119="",V119=""),"",MIN(100,IF(T119&gt;=Reference!$B$9,Reference!$C$9,IF(T119&gt;=Reference!$B$8,Reference!$C$8,IF(T119&gt;=Reference!$B$7,Reference!$C$7,0)))+IF(U119&gt;=Reference!$B$12,Reference!$C$12,IF(U119&gt;=Reference!$B$11,Reference!$C$11,IF(U119&gt;=Reference!$B$10,Reference!$C$10,0)))+IF(W119&gt;=Reference!$B$13,Reference!$C$13,0)+IF(V119&gt;=Reference!$B$15,Reference!$C$15,IF(V119&gt;=Reference!$B$14,Reference!$C$14,0))))</f>
        <v>0</v>
      </c>
      <c r="Y119" s="12" t="str">
        <f>IF(X119="","",IF(X119&gt;=Reference!$B$6,"HIGH",IF(X119&gt;Reference!$B$5,"MODERATE","LOW")))</f>
        <v>LOW</v>
      </c>
    </row>
    <row r="120" ht="15" customHeight="1" spans="1:25">
      <c r="A120" s="20">
        <v>15</v>
      </c>
      <c r="B120" s="21" t="str">
        <f>INDEX(Participants!$B$6:$B$20,A120)</f>
        <v>Kirtan Borana</v>
      </c>
      <c r="C120" s="20">
        <v>3</v>
      </c>
      <c r="D120" s="22">
        <v>0.398206018518519</v>
      </c>
      <c r="E120" s="8" t="s">
        <v>76</v>
      </c>
      <c r="F120" s="8">
        <v>1690</v>
      </c>
      <c r="G120" s="8">
        <v>1938</v>
      </c>
      <c r="H120" s="8">
        <v>1196</v>
      </c>
      <c r="I120" s="10">
        <v>0.01</v>
      </c>
      <c r="J120" s="10">
        <v>0.06</v>
      </c>
      <c r="K120" s="10">
        <v>1.05</v>
      </c>
      <c r="L120" s="23">
        <v>1.8</v>
      </c>
      <c r="M120" s="23">
        <v>-0.6</v>
      </c>
      <c r="N120" s="23">
        <v>0.8</v>
      </c>
      <c r="O120" s="23">
        <v>0.9</v>
      </c>
      <c r="P120" s="23">
        <v>0.5</v>
      </c>
      <c r="Q120" s="8">
        <v>186</v>
      </c>
      <c r="R120" s="8">
        <v>7</v>
      </c>
      <c r="S120" s="8" t="s">
        <v>74</v>
      </c>
      <c r="T120" s="16">
        <f t="shared" si="11"/>
        <v>1.05176042899512</v>
      </c>
      <c r="U120" s="17">
        <f t="shared" si="12"/>
        <v>2.0591260281974</v>
      </c>
      <c r="V120" s="17">
        <f t="shared" si="13"/>
        <v>1.0295630140987</v>
      </c>
      <c r="W120" s="16">
        <f t="shared" si="20"/>
        <v>0.0696708200489715</v>
      </c>
      <c r="X120" s="12">
        <f>IF(OR(T120="",U120="",V120=""),"",MIN(100,IF(T120&gt;=Reference!$B$9,Reference!$C$9,IF(T120&gt;=Reference!$B$8,Reference!$C$8,IF(T120&gt;=Reference!$B$7,Reference!$C$7,0)))+IF(U120&gt;=Reference!$B$12,Reference!$C$12,IF(U120&gt;=Reference!$B$11,Reference!$C$11,IF(U120&gt;=Reference!$B$10,Reference!$C$10,0)))+IF(W120&gt;=Reference!$B$13,Reference!$C$13,0)+IF(V120&gt;=Reference!$B$15,Reference!$C$15,IF(V120&gt;=Reference!$B$14,Reference!$C$14,0))))</f>
        <v>0</v>
      </c>
      <c r="Y120" s="12" t="str">
        <f>IF(X120="","",IF(X120&gt;=Reference!$B$6,"HIGH",IF(X120&gt;Reference!$B$5,"MODERATE","LOW")))</f>
        <v>LOW</v>
      </c>
    </row>
    <row r="121" ht="15" customHeight="1" spans="1:25">
      <c r="A121" s="20">
        <v>15</v>
      </c>
      <c r="B121" s="21" t="str">
        <f>INDEX(Participants!$B$6:$B$20,A121)</f>
        <v>Kirtan Borana</v>
      </c>
      <c r="C121" s="20">
        <v>4</v>
      </c>
      <c r="D121" s="22">
        <v>0.398298611111111</v>
      </c>
      <c r="E121" s="8" t="s">
        <v>77</v>
      </c>
      <c r="F121" s="8">
        <v>2933</v>
      </c>
      <c r="G121" s="8">
        <v>1084</v>
      </c>
      <c r="H121" s="8">
        <v>287</v>
      </c>
      <c r="I121" s="10">
        <v>-0.13</v>
      </c>
      <c r="J121" s="10">
        <v>0.08</v>
      </c>
      <c r="K121" s="10">
        <v>1.12</v>
      </c>
      <c r="L121" s="23">
        <v>9.6</v>
      </c>
      <c r="M121" s="23">
        <v>3.1</v>
      </c>
      <c r="N121" s="23">
        <v>4.5</v>
      </c>
      <c r="O121" s="23">
        <v>-5.6</v>
      </c>
      <c r="P121" s="23">
        <v>1.8</v>
      </c>
      <c r="Q121" s="8">
        <v>166</v>
      </c>
      <c r="R121" s="8">
        <v>8</v>
      </c>
      <c r="S121" s="8" t="s">
        <v>74</v>
      </c>
      <c r="T121" s="16">
        <f t="shared" si="11"/>
        <v>1.13035392687423</v>
      </c>
      <c r="U121" s="17">
        <f t="shared" si="12"/>
        <v>11.0462663375459</v>
      </c>
      <c r="V121" s="17">
        <f t="shared" si="13"/>
        <v>5.8821764679411</v>
      </c>
      <c r="W121" s="16">
        <f t="shared" si="20"/>
        <v>0.078593497879113</v>
      </c>
      <c r="X121" s="12">
        <f>IF(OR(T121="",U121="",V121=""),"",MIN(100,IF(T121&gt;=Reference!$B$9,Reference!$C$9,IF(T121&gt;=Reference!$B$8,Reference!$C$8,IF(T121&gt;=Reference!$B$7,Reference!$C$7,0)))+IF(U121&gt;=Reference!$B$12,Reference!$C$12,IF(U121&gt;=Reference!$B$11,Reference!$C$11,IF(U121&gt;=Reference!$B$10,Reference!$C$10,0)))+IF(W121&gt;=Reference!$B$13,Reference!$C$13,0)+IF(V121&gt;=Reference!$B$15,Reference!$C$15,IF(V121&gt;=Reference!$B$14,Reference!$C$14,0))))</f>
        <v>0</v>
      </c>
      <c r="Y121" s="12" t="str">
        <f>IF(X121="","",IF(X121&gt;=Reference!$B$6,"HIGH",IF(X121&gt;Reference!$B$5,"MODERATE","LOW")))</f>
        <v>LOW</v>
      </c>
    </row>
    <row r="122" ht="15" customHeight="1" spans="1:25">
      <c r="A122" s="20">
        <v>15</v>
      </c>
      <c r="B122" s="21" t="str">
        <f>INDEX(Participants!$B$6:$B$20,A122)</f>
        <v>Kirtan Borana</v>
      </c>
      <c r="C122" s="20">
        <v>5</v>
      </c>
      <c r="D122" s="22">
        <v>0.39837962962963</v>
      </c>
      <c r="E122" s="8" t="s">
        <v>78</v>
      </c>
      <c r="F122" s="8">
        <v>82</v>
      </c>
      <c r="G122" s="8">
        <v>57</v>
      </c>
      <c r="H122" s="8">
        <v>36</v>
      </c>
      <c r="I122" s="10">
        <v>0.02</v>
      </c>
      <c r="J122" s="10">
        <v>0.03</v>
      </c>
      <c r="K122" s="10">
        <v>0.97</v>
      </c>
      <c r="L122" s="23">
        <v>14.1</v>
      </c>
      <c r="M122" s="23">
        <v>4.5</v>
      </c>
      <c r="N122" s="23">
        <v>6.1</v>
      </c>
      <c r="O122" s="23">
        <v>-10.8</v>
      </c>
      <c r="P122" s="23">
        <v>2.5</v>
      </c>
      <c r="Q122" s="8">
        <v>144</v>
      </c>
      <c r="R122" s="8">
        <v>8</v>
      </c>
      <c r="S122" s="8" t="s">
        <v>74</v>
      </c>
      <c r="T122" s="16">
        <f t="shared" si="11"/>
        <v>0.97066987178958</v>
      </c>
      <c r="U122" s="17">
        <f t="shared" si="12"/>
        <v>16.008435276441</v>
      </c>
      <c r="V122" s="17">
        <f t="shared" si="13"/>
        <v>11.0855762141623</v>
      </c>
      <c r="W122" s="16">
        <f t="shared" si="20"/>
        <v>0.159684055084653</v>
      </c>
      <c r="X122" s="12">
        <f>IF(OR(T122="",U122="",V122=""),"",MIN(100,IF(T122&gt;=Reference!$B$9,Reference!$C$9,IF(T122&gt;=Reference!$B$8,Reference!$C$8,IF(T122&gt;=Reference!$B$7,Reference!$C$7,0)))+IF(U122&gt;=Reference!$B$12,Reference!$C$12,IF(U122&gt;=Reference!$B$11,Reference!$C$11,IF(U122&gt;=Reference!$B$10,Reference!$C$10,0)))+IF(W122&gt;=Reference!$B$13,Reference!$C$13,0)+IF(V122&gt;=Reference!$B$15,Reference!$C$15,IF(V122&gt;=Reference!$B$14,Reference!$C$14,0))))</f>
        <v>5</v>
      </c>
      <c r="Y122" s="12" t="str">
        <f>IF(X122="","",IF(X122&gt;=Reference!$B$6,"HIGH",IF(X122&gt;Reference!$B$5,"MODERATE","LOW")))</f>
        <v>LOW</v>
      </c>
    </row>
    <row r="123" ht="15" customHeight="1" spans="1:25">
      <c r="A123" s="20">
        <v>15</v>
      </c>
      <c r="B123" s="21" t="str">
        <f>INDEX(Participants!$B$6:$B$20,A123)</f>
        <v>Kirtan Borana</v>
      </c>
      <c r="C123" s="20">
        <v>6</v>
      </c>
      <c r="D123" s="22">
        <v>0.39849537037037</v>
      </c>
      <c r="E123" s="8" t="s">
        <v>73</v>
      </c>
      <c r="F123" s="8">
        <v>368</v>
      </c>
      <c r="G123" s="8">
        <v>481</v>
      </c>
      <c r="H123" s="8">
        <v>3177</v>
      </c>
      <c r="I123" s="10">
        <v>0.12</v>
      </c>
      <c r="J123" s="10">
        <v>0.05</v>
      </c>
      <c r="K123" s="10">
        <v>1.03</v>
      </c>
      <c r="L123" s="23">
        <v>5.9</v>
      </c>
      <c r="M123" s="23">
        <v>2.3</v>
      </c>
      <c r="N123" s="23">
        <v>3</v>
      </c>
      <c r="O123" s="23">
        <v>3.1</v>
      </c>
      <c r="P123" s="23">
        <v>1</v>
      </c>
      <c r="Q123" s="8">
        <v>213</v>
      </c>
      <c r="R123" s="8">
        <v>7</v>
      </c>
      <c r="S123" s="8" t="s">
        <v>74</v>
      </c>
      <c r="T123" s="16">
        <f t="shared" si="11"/>
        <v>1.03817146945965</v>
      </c>
      <c r="U123" s="17">
        <f t="shared" si="12"/>
        <v>7.00713921654194</v>
      </c>
      <c r="V123" s="17">
        <f t="shared" si="13"/>
        <v>3.25729949498047</v>
      </c>
      <c r="W123" s="16">
        <f t="shared" si="20"/>
        <v>0.0675015976700655</v>
      </c>
      <c r="X123" s="12">
        <f>IF(OR(T123="",U123="",V123=""),"",MIN(100,IF(T123&gt;=Reference!$B$9,Reference!$C$9,IF(T123&gt;=Reference!$B$8,Reference!$C$8,IF(T123&gt;=Reference!$B$7,Reference!$C$7,0)))+IF(U123&gt;=Reference!$B$12,Reference!$C$12,IF(U123&gt;=Reference!$B$11,Reference!$C$11,IF(U123&gt;=Reference!$B$10,Reference!$C$10,0)))+IF(W123&gt;=Reference!$B$13,Reference!$C$13,0)+IF(V123&gt;=Reference!$B$15,Reference!$C$15,IF(V123&gt;=Reference!$B$14,Reference!$C$14,0))))</f>
        <v>0</v>
      </c>
      <c r="Y123" s="12" t="str">
        <f>IF(X123="","",IF(X123&gt;=Reference!$B$6,"HIGH",IF(X123&gt;Reference!$B$5,"MODERATE","LOW")))</f>
        <v>LOW</v>
      </c>
    </row>
    <row r="124" ht="15" customHeight="1" spans="1:25">
      <c r="A124" s="20">
        <v>15</v>
      </c>
      <c r="B124" s="21" t="str">
        <f>INDEX(Participants!$B$6:$B$20,A124)</f>
        <v>Kirtan Borana</v>
      </c>
      <c r="C124" s="20">
        <v>7</v>
      </c>
      <c r="D124" s="22">
        <v>0.398553240740741</v>
      </c>
      <c r="E124" s="8" t="s">
        <v>75</v>
      </c>
      <c r="F124" s="8">
        <v>1085</v>
      </c>
      <c r="G124" s="8">
        <v>1356</v>
      </c>
      <c r="H124" s="8">
        <v>2021</v>
      </c>
      <c r="I124" s="10">
        <v>0.05</v>
      </c>
      <c r="J124" s="10">
        <v>-0.03</v>
      </c>
      <c r="K124" s="10">
        <v>0.99</v>
      </c>
      <c r="L124" s="23">
        <v>2.8</v>
      </c>
      <c r="M124" s="23">
        <v>0.6</v>
      </c>
      <c r="N124" s="23">
        <v>1.4</v>
      </c>
      <c r="O124" s="23">
        <v>1.2</v>
      </c>
      <c r="P124" s="23">
        <v>0.8</v>
      </c>
      <c r="Q124" s="8">
        <v>243</v>
      </c>
      <c r="R124" s="8">
        <v>8</v>
      </c>
      <c r="S124" s="8" t="s">
        <v>74</v>
      </c>
      <c r="T124" s="16">
        <f t="shared" si="11"/>
        <v>0.991715685063012</v>
      </c>
      <c r="U124" s="17">
        <f t="shared" si="12"/>
        <v>3.18747549010185</v>
      </c>
      <c r="V124" s="17">
        <f t="shared" si="13"/>
        <v>1.4422205101856</v>
      </c>
      <c r="W124" s="16">
        <f t="shared" si="20"/>
        <v>0.0464557843966332</v>
      </c>
      <c r="X124" s="12">
        <f>IF(OR(T124="",U124="",V124=""),"",MIN(100,IF(T124&gt;=Reference!$B$9,Reference!$C$9,IF(T124&gt;=Reference!$B$8,Reference!$C$8,IF(T124&gt;=Reference!$B$7,Reference!$C$7,0)))+IF(U124&gt;=Reference!$B$12,Reference!$C$12,IF(U124&gt;=Reference!$B$11,Reference!$C$11,IF(U124&gt;=Reference!$B$10,Reference!$C$10,0)))+IF(W124&gt;=Reference!$B$13,Reference!$C$13,0)+IF(V124&gt;=Reference!$B$15,Reference!$C$15,IF(V124&gt;=Reference!$B$14,Reference!$C$14,0))))</f>
        <v>0</v>
      </c>
      <c r="Y124" s="12" t="str">
        <f>IF(X124="","",IF(X124&gt;=Reference!$B$6,"HIGH",IF(X124&gt;Reference!$B$5,"MODERATE","LOW")))</f>
        <v>LOW</v>
      </c>
    </row>
    <row r="125" ht="15" customHeight="1" spans="1:25">
      <c r="A125" s="24">
        <v>15</v>
      </c>
      <c r="B125" s="25" t="str">
        <f>INDEX(Participants!$B$6:$B$20,A125)</f>
        <v>Kirtan Borana</v>
      </c>
      <c r="C125" s="24">
        <v>8</v>
      </c>
      <c r="D125" s="26">
        <v>0.39869212962963</v>
      </c>
      <c r="E125" s="27" t="s">
        <v>77</v>
      </c>
      <c r="F125" s="27">
        <v>2478</v>
      </c>
      <c r="G125" s="27">
        <v>1044</v>
      </c>
      <c r="H125" s="27">
        <v>242</v>
      </c>
      <c r="I125" s="28">
        <v>-0.1</v>
      </c>
      <c r="J125" s="28">
        <v>0.04</v>
      </c>
      <c r="K125" s="28">
        <v>1.1</v>
      </c>
      <c r="L125" s="29">
        <v>10.4</v>
      </c>
      <c r="M125" s="29">
        <v>3.1</v>
      </c>
      <c r="N125" s="29">
        <v>3.8</v>
      </c>
      <c r="O125" s="29">
        <v>-5.8</v>
      </c>
      <c r="P125" s="29">
        <v>2.1</v>
      </c>
      <c r="Q125" s="27">
        <v>186</v>
      </c>
      <c r="R125" s="27">
        <v>6</v>
      </c>
      <c r="S125" s="27" t="s">
        <v>74</v>
      </c>
      <c r="T125" s="30">
        <f t="shared" si="11"/>
        <v>1.10526015037185</v>
      </c>
      <c r="U125" s="31">
        <f t="shared" si="12"/>
        <v>11.4982607380421</v>
      </c>
      <c r="V125" s="31">
        <f t="shared" si="13"/>
        <v>6.16846820531645</v>
      </c>
      <c r="W125" s="30">
        <f t="shared" si="20"/>
        <v>0.113544465308836</v>
      </c>
      <c r="X125" s="32">
        <f>IF(OR(T125="",U125="",V125=""),"",MIN(100,IF(T125&gt;=Reference!$B$9,Reference!$C$9,IF(T125&gt;=Reference!$B$8,Reference!$C$8,IF(T125&gt;=Reference!$B$7,Reference!$C$7,0)))+IF(U125&gt;=Reference!$B$12,Reference!$C$12,IF(U125&gt;=Reference!$B$11,Reference!$C$11,IF(U125&gt;=Reference!$B$10,Reference!$C$10,0)))+IF(W125&gt;=Reference!$B$13,Reference!$C$13,0)+IF(V125&gt;=Reference!$B$15,Reference!$C$15,IF(V125&gt;=Reference!$B$14,Reference!$C$14,0))))</f>
        <v>0</v>
      </c>
      <c r="Y125" s="32" t="str">
        <f>IF(X125="","",IF(X125&gt;=Reference!$B$6,"HIGH",IF(X125&gt;Reference!$B$5,"MODERATE","LOW")))</f>
        <v>LOW</v>
      </c>
    </row>
  </sheetData>
  <conditionalFormatting sqref="Y6:Y125">
    <cfRule type="cellIs" dxfId="0" priority="2" operator="equal">
      <formula>"HIGH"</formula>
    </cfRule>
    <cfRule type="cellIs" dxfId="1" priority="3" operator="equal">
      <formula>"MODERATE"</formula>
    </cfRule>
    <cfRule type="cellIs" dxfId="2" priority="4" operator="equal">
      <formula>"LOW"</formula>
    </cfRule>
  </conditionalFormatting>
  <dataValidations count="5">
    <dataValidation type="list" allowBlank="1" sqref="E6:E125">
      <formula1>"Foot flat,Foot shift,Heel strike,Mid stance,Recovery,Seated,Standing,Steadying,Stumble peak,Swing,Toe off,Trip begins,Turning,Walking,Weight shift"</formula1>
    </dataValidation>
    <dataValidation type="decimal" operator="between" allowBlank="1" errorTitle="Check distance" error="HC-SR04 reads up to about 400 cm." sqref="Q6:Q125" errorStyle="warning">
      <formula1>0</formula1>
      <formula2>400</formula2>
    </dataValidation>
    <dataValidation type="list" allowBlank="1" sqref="S6:S125">
      <formula1>"Y,N"</formula1>
    </dataValidation>
    <dataValidation type="whole" operator="between" allowBlank="1" errorTitle="Check FSR" error="FSR raw ADC values run 0-4095." sqref="F6:H125" errorStyle="warning">
      <formula1>0</formula1>
      <formula2>4095</formula2>
    </dataValidation>
    <dataValidation type="decimal" operator="between" allowBlank="1" errorTitle="Check acceleration" error="MPU6050 range is up to 16 g." sqref="I6:K125" errorStyle="warning">
      <formula1>-16</formula1>
      <formula2>16</formula2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EC0B9"/>
    <pageSetUpPr fitToPage="1"/>
  </sheetPr>
  <dimension ref="A1:L25"/>
  <sheetViews>
    <sheetView showGridLines="0" workbookViewId="0">
      <pane xSplit="2" ySplit="5" topLeftCell="C10" activePane="bottomRight" state="frozen"/>
      <selection/>
      <selection pane="topRight"/>
      <selection pane="bottomLeft"/>
      <selection pane="bottomRight" activeCell="D2" sqref="D2"/>
    </sheetView>
  </sheetViews>
  <sheetFormatPr defaultColWidth="8.67592592592593" defaultRowHeight="14.4"/>
  <cols>
    <col min="1" max="1" width="5" style="1" customWidth="1"/>
    <col min="2" max="2" width="24" style="1" customWidth="1"/>
    <col min="3" max="4" width="12" style="1" customWidth="1"/>
    <col min="5" max="5" width="9" style="1" customWidth="1"/>
    <col min="6" max="8" width="11" style="1" customWidth="1"/>
    <col min="9" max="10" width="14" style="1" customWidth="1"/>
    <col min="11" max="11" width="12" style="1" customWidth="1"/>
    <col min="12" max="12" width="14" style="1" customWidth="1"/>
  </cols>
  <sheetData>
    <row r="1" ht="27.75" customHeight="1" spans="1:12">
      <c r="A1" s="2" t="s">
        <v>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" customHeight="1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5" ht="43.5" customHeight="1" spans="1:12">
      <c r="A5" s="5" t="s">
        <v>12</v>
      </c>
      <c r="B5" s="5" t="s">
        <v>13</v>
      </c>
      <c r="C5" s="5" t="s">
        <v>16</v>
      </c>
      <c r="D5" s="5" t="s">
        <v>17</v>
      </c>
      <c r="E5" s="5" t="s">
        <v>91</v>
      </c>
      <c r="F5" s="5" t="s">
        <v>92</v>
      </c>
      <c r="G5" s="5" t="s">
        <v>93</v>
      </c>
      <c r="H5" s="5" t="s">
        <v>94</v>
      </c>
      <c r="I5" s="5" t="s">
        <v>95</v>
      </c>
      <c r="J5" s="5" t="s">
        <v>96</v>
      </c>
      <c r="K5" s="5" t="s">
        <v>97</v>
      </c>
      <c r="L5" s="5" t="s">
        <v>98</v>
      </c>
    </row>
    <row r="6" ht="15" customHeight="1" spans="1:12">
      <c r="A6" s="12">
        <v>1</v>
      </c>
      <c r="B6" s="13" t="str">
        <f>Participants!B6</f>
        <v>Vidula Nijhawan</v>
      </c>
      <c r="C6" s="14">
        <f>IF(Participants!E6="","",Participants!E6)</f>
        <v>160</v>
      </c>
      <c r="D6" s="14">
        <f>IF(Participants!F6="","",Participants!F6)</f>
        <v>52</v>
      </c>
      <c r="E6" s="15">
        <f>IF(Participants!G6="","",Participants!G6)</f>
        <v>20.3125</v>
      </c>
      <c r="F6" s="12">
        <f>COUNT(Readings!X6:X13)</f>
        <v>8</v>
      </c>
      <c r="G6" s="12">
        <f>IF(F6=0,"",MAX(Readings!X6:X13))</f>
        <v>5</v>
      </c>
      <c r="H6" s="12">
        <f>IF(F6=0,"",ROUND(AVERAGE(Readings!X6:X13),0))</f>
        <v>1</v>
      </c>
      <c r="I6" s="12" t="str">
        <f>IF(G6="","",IF(G6&gt;=Reference!$B$6,"HIGH",IF(G6&gt;Reference!$B$5,"MODERATE","LOW")))</f>
        <v>LOW</v>
      </c>
      <c r="J6" s="12">
        <f>IF(COUNT(Readings!Q6:Q13)=0,"",MIN(Readings!Q6:Q13))</f>
        <v>177</v>
      </c>
      <c r="K6" s="16">
        <f>IF(COUNT(Readings!T6:T13)=0,"",MAX(Readings!T6:T13))</f>
        <v>1.11830228471554</v>
      </c>
      <c r="L6" s="17">
        <f>IF(COUNT(Readings!U6:U13)=0,"",MAX(Readings!U6:U13))</f>
        <v>15.5547420422198</v>
      </c>
    </row>
    <row r="7" ht="15" customHeight="1" spans="1:12">
      <c r="A7" s="12">
        <v>2</v>
      </c>
      <c r="B7" s="13" t="str">
        <f>Participants!B7</f>
        <v>Rishika Gupta</v>
      </c>
      <c r="C7" s="14">
        <f>IF(Participants!E7="","",Participants!E7)</f>
        <v>163</v>
      </c>
      <c r="D7" s="14">
        <f>IF(Participants!F7="","",Participants!F7)</f>
        <v>55</v>
      </c>
      <c r="E7" s="15">
        <f>IF(Participants!G7="","",Participants!G7)</f>
        <v>20.7008167413151</v>
      </c>
      <c r="F7" s="12">
        <f>COUNT(Readings!X14:X21)</f>
        <v>8</v>
      </c>
      <c r="G7" s="12">
        <f>IF(F7=0,"",MAX(Readings!X14:X21))</f>
        <v>65</v>
      </c>
      <c r="H7" s="12">
        <f>IF(F7=0,"",ROUND(AVERAGE(Readings!X14:X21),0))</f>
        <v>20</v>
      </c>
      <c r="I7" s="12" t="str">
        <f>IF(G7="","",IF(G7&gt;=Reference!$B$6,"HIGH",IF(G7&gt;Reference!$B$5,"MODERATE","LOW")))</f>
        <v>MODERATE</v>
      </c>
      <c r="J7" s="12">
        <f>IF(COUNT(Readings!Q14:Q21)=0,"",MIN(Readings!Q14:Q21))</f>
        <v>93</v>
      </c>
      <c r="K7" s="16">
        <f>IF(COUNT(Readings!T14:T21)=0,"",MAX(Readings!T14:T21))</f>
        <v>1.56843871413581</v>
      </c>
      <c r="L7" s="17">
        <f>IF(COUNT(Readings!U14:U21)=0,"",MAX(Readings!U14:U21))</f>
        <v>58.8082477208767</v>
      </c>
    </row>
    <row r="8" ht="15" customHeight="1" spans="1:12">
      <c r="A8" s="12">
        <v>3</v>
      </c>
      <c r="B8" s="13" t="str">
        <f>Participants!B8</f>
        <v>Vishav Gupta</v>
      </c>
      <c r="C8" s="14">
        <f>IF(Participants!E8="","",Participants!E8)</f>
        <v>174</v>
      </c>
      <c r="D8" s="14">
        <f>IF(Participants!F8="","",Participants!F8)</f>
        <v>68</v>
      </c>
      <c r="E8" s="15">
        <f>IF(Participants!G8="","",Participants!G8)</f>
        <v>22.4600343506408</v>
      </c>
      <c r="F8" s="12">
        <f>COUNT(Readings!X22:X29)</f>
        <v>8</v>
      </c>
      <c r="G8" s="12">
        <f>IF(F8=0,"",MAX(Readings!X22:X29))</f>
        <v>5</v>
      </c>
      <c r="H8" s="12">
        <f>IF(F8=0,"",ROUND(AVERAGE(Readings!X22:X29),0))</f>
        <v>1</v>
      </c>
      <c r="I8" s="12" t="str">
        <f>IF(G8="","",IF(G8&gt;=Reference!$B$6,"HIGH",IF(G8&gt;Reference!$B$5,"MODERATE","LOW")))</f>
        <v>LOW</v>
      </c>
      <c r="J8" s="12">
        <f>IF(COUNT(Readings!Q22:Q29)=0,"",MIN(Readings!Q22:Q29))</f>
        <v>169</v>
      </c>
      <c r="K8" s="16">
        <f>IF(COUNT(Readings!T22:T29)=0,"",MAX(Readings!T22:T29))</f>
        <v>1.11977676346672</v>
      </c>
      <c r="L8" s="17">
        <f>IF(COUNT(Readings!U22:U29)=0,"",MAX(Readings!U22:U29))</f>
        <v>18.2365018575384</v>
      </c>
    </row>
    <row r="9" ht="15" customHeight="1" spans="1:12">
      <c r="A9" s="12">
        <v>4</v>
      </c>
      <c r="B9" s="13" t="str">
        <f>Participants!B9</f>
        <v>Vedant Singh</v>
      </c>
      <c r="C9" s="14">
        <f>IF(Participants!E9="","",Participants!E9)</f>
        <v>178</v>
      </c>
      <c r="D9" s="14">
        <f>IF(Participants!F9="","",Participants!F9)</f>
        <v>72</v>
      </c>
      <c r="E9" s="15">
        <f>IF(Participants!G9="","",Participants!G9)</f>
        <v>22.7244034844085</v>
      </c>
      <c r="F9" s="12">
        <f>COUNT(Readings!X30:X37)</f>
        <v>8</v>
      </c>
      <c r="G9" s="12">
        <f>IF(F9=0,"",MAX(Readings!X30:X37))</f>
        <v>0</v>
      </c>
      <c r="H9" s="12">
        <f>IF(F9=0,"",ROUND(AVERAGE(Readings!X30:X37),0))</f>
        <v>0</v>
      </c>
      <c r="I9" s="12" t="str">
        <f>IF(G9="","",IF(G9&gt;=Reference!$B$6,"HIGH",IF(G9&gt;Reference!$B$5,"MODERATE","LOW")))</f>
        <v>LOW</v>
      </c>
      <c r="J9" s="12">
        <f>IF(COUNT(Readings!Q30:Q37)=0,"",MIN(Readings!Q30:Q37))</f>
        <v>288</v>
      </c>
      <c r="K9" s="16">
        <f>IF(COUNT(Readings!T30:T37)=0,"",MAX(Readings!T30:T37))</f>
        <v>1.0204410811017</v>
      </c>
      <c r="L9" s="17">
        <f>IF(COUNT(Readings!U30:U37)=0,"",MAX(Readings!U30:U37))</f>
        <v>3.14483703870328</v>
      </c>
    </row>
    <row r="10" ht="15" customHeight="1" spans="1:12">
      <c r="A10" s="12">
        <v>5</v>
      </c>
      <c r="B10" s="13" t="str">
        <f>Participants!B10</f>
        <v>Daksh Jain</v>
      </c>
      <c r="C10" s="14">
        <f>IF(Participants!E10="","",Participants!E10)</f>
        <v>172</v>
      </c>
      <c r="D10" s="14">
        <f>IF(Participants!F10="","",Participants!F10)</f>
        <v>64</v>
      </c>
      <c r="E10" s="15">
        <f>IF(Participants!G10="","",Participants!G10)</f>
        <v>21.6333153055706</v>
      </c>
      <c r="F10" s="12">
        <f>COUNT(Readings!X38:X45)</f>
        <v>8</v>
      </c>
      <c r="G10" s="12">
        <f>IF(F10=0,"",MAX(Readings!X38:X45))</f>
        <v>100</v>
      </c>
      <c r="H10" s="12">
        <f>IF(F10=0,"",ROUND(AVERAGE(Readings!X38:X45),0))</f>
        <v>29</v>
      </c>
      <c r="I10" s="12" t="str">
        <f>IF(G10="","",IF(G10&gt;=Reference!$B$6,"HIGH",IF(G10&gt;Reference!$B$5,"MODERATE","LOW")))</f>
        <v>HIGH</v>
      </c>
      <c r="J10" s="12">
        <f>IF(COUNT(Readings!Q38:Q45)=0,"",MIN(Readings!Q38:Q45))</f>
        <v>39</v>
      </c>
      <c r="K10" s="16">
        <f>IF(COUNT(Readings!T38:T45)=0,"",MAX(Readings!T38:T45))</f>
        <v>2.98253248096312</v>
      </c>
      <c r="L10" s="17">
        <f>IF(COUNT(Readings!U38:U45)=0,"",MAX(Readings!U38:U45))</f>
        <v>130.716372348685</v>
      </c>
    </row>
    <row r="11" ht="15" customHeight="1" spans="1:12">
      <c r="A11" s="12">
        <v>6</v>
      </c>
      <c r="B11" s="13" t="str">
        <f>Participants!B11</f>
        <v>Sudeep</v>
      </c>
      <c r="C11" s="14">
        <f>IF(Participants!E11="","",Participants!E11)</f>
        <v>176</v>
      </c>
      <c r="D11" s="14">
        <f>IF(Participants!F11="","",Participants!F11)</f>
        <v>70</v>
      </c>
      <c r="E11" s="15">
        <f>IF(Participants!G11="","",Participants!G11)</f>
        <v>22.5981404958678</v>
      </c>
      <c r="F11" s="12">
        <f>COUNT(Readings!X46:X53)</f>
        <v>8</v>
      </c>
      <c r="G11" s="12">
        <f>IF(F11=0,"",MAX(Readings!X46:X53))</f>
        <v>5</v>
      </c>
      <c r="H11" s="12">
        <f>IF(F11=0,"",ROUND(AVERAGE(Readings!X46:X53),0))</f>
        <v>1</v>
      </c>
      <c r="I11" s="12" t="str">
        <f>IF(G11="","",IF(G11&gt;=Reference!$B$6,"HIGH",IF(G11&gt;Reference!$B$5,"MODERATE","LOW")))</f>
        <v>LOW</v>
      </c>
      <c r="J11" s="12">
        <f>IF(COUNT(Readings!Q46:Q53)=0,"",MIN(Readings!Q46:Q53))</f>
        <v>168</v>
      </c>
      <c r="K11" s="16">
        <f>IF(COUNT(Readings!T46:T53)=0,"",MAX(Readings!T46:T53))</f>
        <v>1.14895604789739</v>
      </c>
      <c r="L11" s="17">
        <f>IF(COUNT(Readings!U46:U53)=0,"",MAX(Readings!U46:U53))</f>
        <v>16.5302752548165</v>
      </c>
    </row>
    <row r="12" ht="15" customHeight="1" spans="1:12">
      <c r="A12" s="12">
        <v>7</v>
      </c>
      <c r="B12" s="13" t="str">
        <f>Participants!B12</f>
        <v>Dhairya</v>
      </c>
      <c r="C12" s="14">
        <f>IF(Participants!E12="","",Participants!E12)</f>
        <v>170</v>
      </c>
      <c r="D12" s="14">
        <f>IF(Participants!F12="","",Participants!F12)</f>
        <v>62</v>
      </c>
      <c r="E12" s="15">
        <f>IF(Participants!G12="","",Participants!G12)</f>
        <v>21.4532871972318</v>
      </c>
      <c r="F12" s="12">
        <f>COUNT(Readings!X54:X61)</f>
        <v>8</v>
      </c>
      <c r="G12" s="12">
        <f>IF(F12=0,"",MAX(Readings!X54:X61))</f>
        <v>65</v>
      </c>
      <c r="H12" s="12">
        <f>IF(F12=0,"",ROUND(AVERAGE(Readings!X54:X61),0))</f>
        <v>17</v>
      </c>
      <c r="I12" s="12" t="str">
        <f>IF(G12="","",IF(G12&gt;=Reference!$B$6,"HIGH",IF(G12&gt;Reference!$B$5,"MODERATE","LOW")))</f>
        <v>MODERATE</v>
      </c>
      <c r="J12" s="12">
        <f>IF(COUNT(Readings!Q54:Q61)=0,"",MIN(Readings!Q54:Q61))</f>
        <v>88</v>
      </c>
      <c r="K12" s="16">
        <f>IF(COUNT(Readings!T54:T61)=0,"",MAX(Readings!T54:T61))</f>
        <v>1.57289541928254</v>
      </c>
      <c r="L12" s="17">
        <f>IF(COUNT(Readings!U54:U61)=0,"",MAX(Readings!U54:U61))</f>
        <v>53.8165402083783</v>
      </c>
    </row>
    <row r="13" ht="15" customHeight="1" spans="1:12">
      <c r="A13" s="12">
        <v>8</v>
      </c>
      <c r="B13" s="13" t="str">
        <f>Participants!B13</f>
        <v>Sanjana</v>
      </c>
      <c r="C13" s="14">
        <f>IF(Participants!E13="","",Participants!E13)</f>
        <v>158</v>
      </c>
      <c r="D13" s="14">
        <f>IF(Participants!F13="","",Participants!F13)</f>
        <v>50</v>
      </c>
      <c r="E13" s="15">
        <f>IF(Participants!G13="","",Participants!G13)</f>
        <v>20.0288415318058</v>
      </c>
      <c r="F13" s="12">
        <f>COUNT(Readings!X62:X69)</f>
        <v>8</v>
      </c>
      <c r="G13" s="12">
        <f>IF(F13=0,"",MAX(Readings!X62:X69))</f>
        <v>5</v>
      </c>
      <c r="H13" s="12">
        <f>IF(F13=0,"",ROUND(AVERAGE(Readings!X62:X69),0))</f>
        <v>1</v>
      </c>
      <c r="I13" s="12" t="str">
        <f>IF(G13="","",IF(G13&gt;=Reference!$B$6,"HIGH",IF(G13&gt;Reference!$B$5,"MODERATE","LOW")))</f>
        <v>LOW</v>
      </c>
      <c r="J13" s="12">
        <f>IF(COUNT(Readings!Q62:Q69)=0,"",MIN(Readings!Q62:Q69))</f>
        <v>153</v>
      </c>
      <c r="K13" s="16">
        <f>IF(COUNT(Readings!T62:T69)=0,"",MAX(Readings!T62:T69))</f>
        <v>1.10770032048384</v>
      </c>
      <c r="L13" s="17">
        <f>IF(COUNT(Readings!U62:U69)=0,"",MAX(Readings!U62:U69))</f>
        <v>16.4006097447625</v>
      </c>
    </row>
    <row r="14" ht="15" customHeight="1" spans="1:12">
      <c r="A14" s="12">
        <v>9</v>
      </c>
      <c r="B14" s="13" t="str">
        <f>Participants!B14</f>
        <v>Aniket</v>
      </c>
      <c r="C14" s="14">
        <f>IF(Participants!E14="","",Participants!E14)</f>
        <v>180</v>
      </c>
      <c r="D14" s="14">
        <f>IF(Participants!F14="","",Participants!F14)</f>
        <v>76</v>
      </c>
      <c r="E14" s="15">
        <f>IF(Participants!G14="","",Participants!G14)</f>
        <v>23.4567901234568</v>
      </c>
      <c r="F14" s="12">
        <f>COUNT(Readings!X70:X77)</f>
        <v>8</v>
      </c>
      <c r="G14" s="12">
        <f>IF(F14=0,"",MAX(Readings!X70:X77))</f>
        <v>5</v>
      </c>
      <c r="H14" s="12">
        <f>IF(F14=0,"",ROUND(AVERAGE(Readings!X70:X77),0))</f>
        <v>5</v>
      </c>
      <c r="I14" s="12" t="str">
        <f>IF(G14="","",IF(G14&gt;=Reference!$B$6,"HIGH",IF(G14&gt;Reference!$B$5,"MODERATE","LOW")))</f>
        <v>LOW</v>
      </c>
      <c r="J14" s="12">
        <f>IF(COUNT(Readings!Q70:Q77)=0,"",MIN(Readings!Q70:Q77))</f>
        <v>44</v>
      </c>
      <c r="K14" s="16">
        <f>IF(COUNT(Readings!T70:T77)=0,"",MAX(Readings!T70:T77))</f>
        <v>1.0204410811017</v>
      </c>
      <c r="L14" s="17">
        <f>IF(COUNT(Readings!U70:U77)=0,"",MAX(Readings!U70:U77))</f>
        <v>3.83927076409049</v>
      </c>
    </row>
    <row r="15" ht="15" customHeight="1" spans="1:12">
      <c r="A15" s="12">
        <v>10</v>
      </c>
      <c r="B15" s="13" t="str">
        <f>Participants!B15</f>
        <v>Raghav Garg</v>
      </c>
      <c r="C15" s="14">
        <f>IF(Participants!E15="","",Participants!E15)</f>
        <v>175</v>
      </c>
      <c r="D15" s="14">
        <f>IF(Participants!F15="","",Participants!F15)</f>
        <v>78</v>
      </c>
      <c r="E15" s="15">
        <f>IF(Participants!G15="","",Participants!G15)</f>
        <v>25.469387755102</v>
      </c>
      <c r="F15" s="12">
        <f>COUNT(Readings!X78:X85)</f>
        <v>8</v>
      </c>
      <c r="G15" s="12">
        <f>IF(F15=0,"",MAX(Readings!X78:X85))</f>
        <v>5</v>
      </c>
      <c r="H15" s="12">
        <f>IF(F15=0,"",ROUND(AVERAGE(Readings!X78:X85),0))</f>
        <v>1</v>
      </c>
      <c r="I15" s="12" t="str">
        <f>IF(G15="","",IF(G15&gt;=Reference!$B$6,"HIGH",IF(G15&gt;Reference!$B$5,"MODERATE","LOW")))</f>
        <v>LOW</v>
      </c>
      <c r="J15" s="12">
        <f>IF(COUNT(Readings!Q78:Q85)=0,"",MIN(Readings!Q78:Q85))</f>
        <v>161</v>
      </c>
      <c r="K15" s="16">
        <f>IF(COUNT(Readings!T78:T85)=0,"",MAX(Readings!T78:T85))</f>
        <v>1.13815640401484</v>
      </c>
      <c r="L15" s="17">
        <f>IF(COUNT(Readings!U78:U85)=0,"",MAX(Readings!U78:U85))</f>
        <v>17.9412931529475</v>
      </c>
    </row>
    <row r="16" ht="15" customHeight="1" spans="1:12">
      <c r="A16" s="12">
        <v>11</v>
      </c>
      <c r="B16" s="13" t="str">
        <f>Participants!B16</f>
        <v>Kushal Thakur</v>
      </c>
      <c r="C16" s="14">
        <f>IF(Participants!E16="","",Participants!E16)</f>
        <v>183</v>
      </c>
      <c r="D16" s="14">
        <f>IF(Participants!F16="","",Participants!F16)</f>
        <v>82</v>
      </c>
      <c r="E16" s="15">
        <f>IF(Participants!G16="","",Participants!G16)</f>
        <v>24.485652005136</v>
      </c>
      <c r="F16" s="12">
        <f>COUNT(Readings!X86:X93)</f>
        <v>8</v>
      </c>
      <c r="G16" s="12">
        <f>IF(F16=0,"",MAX(Readings!X86:X93))</f>
        <v>65</v>
      </c>
      <c r="H16" s="12">
        <f>IF(F16=0,"",ROUND(AVERAGE(Readings!X86:X93),0))</f>
        <v>19</v>
      </c>
      <c r="I16" s="12" t="str">
        <f>IF(G16="","",IF(G16&gt;=Reference!$B$6,"HIGH",IF(G16&gt;Reference!$B$5,"MODERATE","LOW")))</f>
        <v>MODERATE</v>
      </c>
      <c r="J16" s="12">
        <f>IF(COUNT(Readings!Q86:Q93)=0,"",MIN(Readings!Q86:Q93))</f>
        <v>106</v>
      </c>
      <c r="K16" s="16">
        <f>IF(COUNT(Readings!T86:T93)=0,"",MAX(Readings!T86:T93))</f>
        <v>1.56630137585332</v>
      </c>
      <c r="L16" s="17">
        <f>IF(COUNT(Readings!U86:U93)=0,"",MAX(Readings!U86:U93))</f>
        <v>51.3922173096277</v>
      </c>
    </row>
    <row r="17" ht="15" customHeight="1" spans="1:12">
      <c r="A17" s="12">
        <v>12</v>
      </c>
      <c r="B17" s="13" t="str">
        <f>Participants!B17</f>
        <v>Manjot Singh</v>
      </c>
      <c r="C17" s="14">
        <f>IF(Participants!E17="","",Participants!E17)</f>
        <v>177</v>
      </c>
      <c r="D17" s="14">
        <f>IF(Participants!F17="","",Participants!F17)</f>
        <v>67</v>
      </c>
      <c r="E17" s="15">
        <f>IF(Participants!G17="","",Participants!G17)</f>
        <v>21.3859363528999</v>
      </c>
      <c r="F17" s="12">
        <f>COUNT(Readings!X94:X101)</f>
        <v>8</v>
      </c>
      <c r="G17" s="12">
        <f>IF(F17=0,"",MAX(Readings!X94:X101))</f>
        <v>0</v>
      </c>
      <c r="H17" s="12">
        <f>IF(F17=0,"",ROUND(AVERAGE(Readings!X94:X101),0))</f>
        <v>0</v>
      </c>
      <c r="I17" s="12" t="str">
        <f>IF(G17="","",IF(G17&gt;=Reference!$B$6,"HIGH",IF(G17&gt;Reference!$B$5,"MODERATE","LOW")))</f>
        <v>LOW</v>
      </c>
      <c r="J17" s="12">
        <f>IF(COUNT(Readings!Q94:Q101)=0,"",MIN(Readings!Q94:Q101))</f>
        <v>291</v>
      </c>
      <c r="K17" s="16">
        <f>IF(COUNT(Readings!T94:T101)=0,"",MAX(Readings!T94:T101))</f>
        <v>1.02024506859872</v>
      </c>
      <c r="L17" s="17">
        <f>IF(COUNT(Readings!U94:U101)=0,"",MAX(Readings!U94:U101))</f>
        <v>2.39374184071716</v>
      </c>
    </row>
    <row r="18" ht="15" customHeight="1" spans="1:12">
      <c r="A18" s="12">
        <v>13</v>
      </c>
      <c r="B18" s="13" t="str">
        <f>Participants!B18</f>
        <v>Tejnoor Singh</v>
      </c>
      <c r="C18" s="14">
        <f>IF(Participants!E18="","",Participants!E18)</f>
        <v>173</v>
      </c>
      <c r="D18" s="14">
        <f>IF(Participants!F18="","",Participants!F18)</f>
        <v>60</v>
      </c>
      <c r="E18" s="15">
        <f>IF(Participants!G18="","",Participants!G18)</f>
        <v>20.0474456213038</v>
      </c>
      <c r="F18" s="12">
        <f>COUNT(Readings!X102:X109)</f>
        <v>8</v>
      </c>
      <c r="G18" s="12">
        <f>IF(F18=0,"",MAX(Readings!X102:X109))</f>
        <v>5</v>
      </c>
      <c r="H18" s="12">
        <f>IF(F18=0,"",ROUND(AVERAGE(Readings!X102:X109),0))</f>
        <v>1</v>
      </c>
      <c r="I18" s="12" t="str">
        <f>IF(G18="","",IF(G18&gt;=Reference!$B$6,"HIGH",IF(G18&gt;Reference!$B$5,"MODERATE","LOW")))</f>
        <v>LOW</v>
      </c>
      <c r="J18" s="12">
        <f>IF(COUNT(Readings!Q102:Q109)=0,"",MIN(Readings!Q102:Q109))</f>
        <v>165</v>
      </c>
      <c r="K18" s="16">
        <f>IF(COUNT(Readings!T102:T109)=0,"",MAX(Readings!T102:T109))</f>
        <v>1.12093710795923</v>
      </c>
      <c r="L18" s="17">
        <f>IF(COUNT(Readings!U102:U109)=0,"",MAX(Readings!U102:U109))</f>
        <v>15.6901242824906</v>
      </c>
    </row>
    <row r="19" ht="15" customHeight="1" spans="1:12">
      <c r="A19" s="12">
        <v>14</v>
      </c>
      <c r="B19" s="13" t="str">
        <f>Participants!B19</f>
        <v>Ramit Joshi</v>
      </c>
      <c r="C19" s="14">
        <f>IF(Participants!E19="","",Participants!E19)</f>
        <v>169</v>
      </c>
      <c r="D19" s="14">
        <f>IF(Participants!F19="","",Participants!F19)</f>
        <v>58</v>
      </c>
      <c r="E19" s="15">
        <f>IF(Participants!G19="","",Participants!G19)</f>
        <v>20.307412205455</v>
      </c>
      <c r="F19" s="12">
        <f>COUNT(Readings!X110:X117)</f>
        <v>8</v>
      </c>
      <c r="G19" s="12">
        <f>IF(F19=0,"",MAX(Readings!X110:X117))</f>
        <v>5</v>
      </c>
      <c r="H19" s="12">
        <f>IF(F19=0,"",ROUND(AVERAGE(Readings!X110:X117),0))</f>
        <v>5</v>
      </c>
      <c r="I19" s="12" t="str">
        <f>IF(G19="","",IF(G19&gt;=Reference!$B$6,"HIGH",IF(G19&gt;Reference!$B$5,"MODERATE","LOW")))</f>
        <v>LOW</v>
      </c>
      <c r="J19" s="12">
        <f>IF(COUNT(Readings!Q110:Q117)=0,"",MIN(Readings!Q110:Q117))</f>
        <v>48</v>
      </c>
      <c r="K19" s="16">
        <f>IF(COUNT(Readings!T110:T117)=0,"",MAX(Readings!T110:T117))</f>
        <v>1.01158291800524</v>
      </c>
      <c r="L19" s="17">
        <f>IF(COUNT(Readings!U110:U117)=0,"",MAX(Readings!U110:U117))</f>
        <v>3.50142828000232</v>
      </c>
    </row>
    <row r="20" ht="15" customHeight="1" spans="1:12">
      <c r="A20" s="12">
        <v>15</v>
      </c>
      <c r="B20" s="13" t="str">
        <f>Participants!B20</f>
        <v>Kirtan Borana</v>
      </c>
      <c r="C20" s="14">
        <f>IF(Participants!E20="","",Participants!E20)</f>
        <v>171</v>
      </c>
      <c r="D20" s="14">
        <f>IF(Participants!F20="","",Participants!F20)</f>
        <v>74</v>
      </c>
      <c r="E20" s="15">
        <f>IF(Participants!G20="","",Participants!G20)</f>
        <v>25.3069320474676</v>
      </c>
      <c r="F20" s="12">
        <f>COUNT(Readings!X118:X125)</f>
        <v>8</v>
      </c>
      <c r="G20" s="12">
        <f>IF(F20=0,"",MAX(Readings!X118:X125))</f>
        <v>5</v>
      </c>
      <c r="H20" s="12">
        <f>IF(F20=0,"",ROUND(AVERAGE(Readings!X118:X125),0))</f>
        <v>1</v>
      </c>
      <c r="I20" s="12" t="str">
        <f>IF(G20="","",IF(G20&gt;=Reference!$B$6,"HIGH",IF(G20&gt;Reference!$B$5,"MODERATE","LOW")))</f>
        <v>LOW</v>
      </c>
      <c r="J20" s="12">
        <f>IF(COUNT(Readings!Q118:Q125)=0,"",MIN(Readings!Q118:Q125))</f>
        <v>144</v>
      </c>
      <c r="K20" s="16">
        <f>IF(COUNT(Readings!T118:T125)=0,"",MAX(Readings!T118:T125))</f>
        <v>1.13035392687423</v>
      </c>
      <c r="L20" s="17">
        <f>IF(COUNT(Readings!U118:U125)=0,"",MAX(Readings!U118:U125))</f>
        <v>16.008435276441</v>
      </c>
    </row>
    <row r="22" ht="15" customHeight="1" spans="1:12">
      <c r="B22" s="18" t="s">
        <v>99</v>
      </c>
      <c r="F22" s="19">
        <f>COUNTIF(F6:F20,"&gt;0")</f>
        <v>15</v>
      </c>
    </row>
    <row r="23" ht="15" customHeight="1" spans="1:12">
      <c r="B23" s="18" t="s">
        <v>100</v>
      </c>
      <c r="F23" s="19">
        <f>COUNTIF(I6:I20,"HIGH")</f>
        <v>1</v>
      </c>
    </row>
    <row r="24" ht="15" customHeight="1" spans="1:12">
      <c r="B24" s="18" t="s">
        <v>101</v>
      </c>
      <c r="F24" s="19">
        <f>COUNTIF(I6:I20,"MODERATE")</f>
        <v>3</v>
      </c>
    </row>
    <row r="25" ht="15" customHeight="1" spans="1:12">
      <c r="B25" s="18" t="s">
        <v>102</v>
      </c>
      <c r="F25" s="19">
        <f>COUNTIF(I6:I20,"LOW")</f>
        <v>11</v>
      </c>
    </row>
  </sheetData>
  <conditionalFormatting sqref="I6:I20">
    <cfRule type="cellIs" dxfId="0" priority="2" operator="equal">
      <formula>"HIGH"</formula>
    </cfRule>
    <cfRule type="cellIs" dxfId="1" priority="3" operator="equal">
      <formula>"MODERATE"</formula>
    </cfRule>
    <cfRule type="cellIs" dxfId="2" priority="4" operator="equal">
      <formula>"LOW"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EC0B9"/>
    <pageSetUpPr fitToPage="1"/>
  </sheetPr>
  <dimension ref="A1:D25"/>
  <sheetViews>
    <sheetView showGridLines="0" workbookViewId="0">
      <selection activeCell="H7" sqref="H7"/>
    </sheetView>
  </sheetViews>
  <sheetFormatPr defaultColWidth="8.67592592592593" defaultRowHeight="14.4" outlineLevelCol="3"/>
  <cols>
    <col min="1" max="1" width="34" style="1" customWidth="1"/>
    <col min="2" max="2" width="24" style="1" customWidth="1"/>
    <col min="3" max="3" width="26" style="1" customWidth="1"/>
    <col min="4" max="4" width="52" style="1" customWidth="1"/>
  </cols>
  <sheetData>
    <row r="1" ht="27.75" customHeight="1" spans="1:4">
      <c r="A1" s="2" t="s">
        <v>103</v>
      </c>
      <c r="B1" s="3"/>
      <c r="C1" s="3"/>
      <c r="D1" s="3"/>
    </row>
    <row r="2" ht="18" customHeight="1" spans="1:4">
      <c r="A2" s="4"/>
      <c r="B2" s="3"/>
      <c r="C2" s="3"/>
      <c r="D2" s="3"/>
    </row>
    <row r="4" ht="31.5" customHeight="1" spans="1:4">
      <c r="A4" s="5" t="s">
        <v>104</v>
      </c>
      <c r="B4" s="5" t="s">
        <v>105</v>
      </c>
      <c r="C4" s="5" t="s">
        <v>106</v>
      </c>
      <c r="D4" s="5" t="s">
        <v>107</v>
      </c>
    </row>
    <row r="5" ht="15" customHeight="1" spans="1:4">
      <c r="A5" s="6" t="s">
        <v>108</v>
      </c>
      <c r="B5" s="7">
        <v>39</v>
      </c>
      <c r="C5" s="8"/>
      <c r="D5" s="9" t="s">
        <v>109</v>
      </c>
    </row>
    <row r="6" ht="15" customHeight="1" spans="1:4">
      <c r="A6" s="6" t="s">
        <v>110</v>
      </c>
      <c r="B6" s="7">
        <v>70</v>
      </c>
      <c r="C6" s="8"/>
      <c r="D6" s="9" t="s">
        <v>111</v>
      </c>
    </row>
    <row r="7" ht="15" customHeight="1" spans="1:4">
      <c r="A7" s="6" t="s">
        <v>112</v>
      </c>
      <c r="B7" s="10">
        <v>1.3</v>
      </c>
      <c r="C7" s="8">
        <v>10</v>
      </c>
      <c r="D7" s="9" t="s">
        <v>113</v>
      </c>
    </row>
    <row r="8" ht="15" customHeight="1" spans="1:4">
      <c r="A8" s="6" t="s">
        <v>114</v>
      </c>
      <c r="B8" s="10">
        <v>1.5</v>
      </c>
      <c r="C8" s="8">
        <v>25</v>
      </c>
      <c r="D8" s="9" t="s">
        <v>115</v>
      </c>
    </row>
    <row r="9" ht="15" customHeight="1" spans="1:4">
      <c r="A9" s="6" t="s">
        <v>116</v>
      </c>
      <c r="B9" s="10">
        <v>2.5</v>
      </c>
      <c r="C9" s="8">
        <v>40</v>
      </c>
      <c r="D9" s="9" t="s">
        <v>117</v>
      </c>
    </row>
    <row r="10" ht="15" customHeight="1" spans="1:4">
      <c r="A10" s="6" t="s">
        <v>118</v>
      </c>
      <c r="B10" s="7">
        <v>20</v>
      </c>
      <c r="C10" s="8">
        <v>8</v>
      </c>
      <c r="D10" s="9" t="s">
        <v>119</v>
      </c>
    </row>
    <row r="11" ht="15" customHeight="1" spans="1:4">
      <c r="A11" s="6" t="s">
        <v>120</v>
      </c>
      <c r="B11" s="7">
        <v>30</v>
      </c>
      <c r="C11" s="8">
        <v>20</v>
      </c>
      <c r="D11" s="9" t="s">
        <v>121</v>
      </c>
    </row>
    <row r="12" ht="15" customHeight="1" spans="1:4">
      <c r="A12" s="6" t="s">
        <v>122</v>
      </c>
      <c r="B12" s="7">
        <v>80</v>
      </c>
      <c r="C12" s="8">
        <v>40</v>
      </c>
      <c r="D12" s="9" t="s">
        <v>123</v>
      </c>
    </row>
    <row r="13" ht="15" customHeight="1" spans="1:4">
      <c r="A13" s="6" t="s">
        <v>124</v>
      </c>
      <c r="B13" s="10">
        <v>0.4</v>
      </c>
      <c r="C13" s="8">
        <v>15</v>
      </c>
      <c r="D13" s="9" t="s">
        <v>125</v>
      </c>
    </row>
    <row r="14" ht="15" customHeight="1" spans="1:4">
      <c r="A14" s="6" t="s">
        <v>126</v>
      </c>
      <c r="B14" s="7">
        <v>8</v>
      </c>
      <c r="C14" s="8">
        <v>5</v>
      </c>
      <c r="D14" s="9" t="s">
        <v>127</v>
      </c>
    </row>
    <row r="15" ht="15" customHeight="1" spans="1:4">
      <c r="A15" s="6" t="s">
        <v>128</v>
      </c>
      <c r="B15" s="7">
        <v>15</v>
      </c>
      <c r="C15" s="8">
        <v>10</v>
      </c>
      <c r="D15" s="9" t="s">
        <v>129</v>
      </c>
    </row>
    <row r="17" ht="15" customHeight="1" spans="1:4">
      <c r="A17" s="11" t="s">
        <v>130</v>
      </c>
    </row>
    <row r="19" ht="27.75" customHeight="1" spans="1:4">
      <c r="A19" s="5" t="s">
        <v>50</v>
      </c>
      <c r="B19" s="5" t="s">
        <v>131</v>
      </c>
      <c r="C19" s="5" t="s">
        <v>132</v>
      </c>
      <c r="D19" s="5" t="s">
        <v>133</v>
      </c>
    </row>
    <row r="20" ht="15" customHeight="1" spans="1:4">
      <c r="A20" s="9" t="s">
        <v>134</v>
      </c>
      <c r="B20" s="9" t="s">
        <v>135</v>
      </c>
      <c r="C20" s="9" t="s">
        <v>136</v>
      </c>
      <c r="D20" s="9" t="s">
        <v>137</v>
      </c>
    </row>
    <row r="21" ht="15" customHeight="1" spans="1:4">
      <c r="A21" s="9" t="s">
        <v>138</v>
      </c>
      <c r="B21" s="9" t="s">
        <v>139</v>
      </c>
      <c r="C21" s="9" t="s">
        <v>140</v>
      </c>
      <c r="D21" s="9" t="s">
        <v>141</v>
      </c>
    </row>
    <row r="22" ht="15" customHeight="1" spans="1:4">
      <c r="A22" s="9" t="s">
        <v>142</v>
      </c>
      <c r="B22" s="9" t="s">
        <v>143</v>
      </c>
      <c r="C22" s="9" t="s">
        <v>140</v>
      </c>
      <c r="D22" s="9"/>
    </row>
    <row r="23" ht="15" customHeight="1" spans="1:4">
      <c r="A23" s="9" t="s">
        <v>144</v>
      </c>
      <c r="B23" s="9" t="s">
        <v>145</v>
      </c>
      <c r="C23" s="9" t="s">
        <v>140</v>
      </c>
      <c r="D23" s="9" t="s">
        <v>146</v>
      </c>
    </row>
    <row r="24" ht="15" customHeight="1" spans="1:4">
      <c r="A24" s="9" t="s">
        <v>147</v>
      </c>
      <c r="B24" s="9" t="s">
        <v>148</v>
      </c>
      <c r="C24" s="9" t="s">
        <v>149</v>
      </c>
      <c r="D24" s="9" t="s">
        <v>150</v>
      </c>
    </row>
    <row r="25" ht="15" customHeight="1" spans="1:4">
      <c r="A25" s="9" t="s">
        <v>151</v>
      </c>
      <c r="B25" s="9" t="s">
        <v>152</v>
      </c>
      <c r="C25" s="9" t="s">
        <v>153</v>
      </c>
      <c r="D25" s="9" t="s">
        <v>154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 me</vt:lpstr>
      <vt:lpstr>Participants</vt:lpstr>
      <vt:lpstr>Readings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2026-10-13T16:36:00Z</dcterms:created>
  <dcterms:modified xsi:type="dcterms:W3CDTF">2026-10-13T17:20:44Z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3FBED6FF53A54F899D93E2016C8DBFD2_12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